
<file path=[Content_Types].xml><?xml version="1.0" encoding="utf-8"?>
<Types xmlns="http://schemas.openxmlformats.org/package/2006/content-types">
  <Default Extension="jfif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velim.esquetini\Desktop\Projetos\Projeto MIS\Datahouse\"/>
    </mc:Choice>
  </mc:AlternateContent>
  <xr:revisionPtr revIDLastSave="0" documentId="13_ncr:1_{43CDAF6F-4A6F-4BB3-931B-888E39DC425A}" xr6:coauthVersionLast="47" xr6:coauthVersionMax="47" xr10:uidLastSave="{00000000-0000-0000-0000-000000000000}"/>
  <bookViews>
    <workbookView xWindow="-28920" yWindow="-120" windowWidth="29040" windowHeight="15720" tabRatio="0" xr2:uid="{00000000-000D-0000-FFFF-FFFF00000000}"/>
  </bookViews>
  <sheets>
    <sheet name="01_RESUMO" sheetId="1" r:id="rId1"/>
    <sheet name="02_OPERACIONAL" sheetId="2" r:id="rId2"/>
    <sheet name="03_DETALHAMENTO" sheetId="3" r:id="rId3"/>
    <sheet name="04_INDICADORES" sheetId="4" r:id="rId4"/>
    <sheet name="05_BASE" sheetId="5" r:id="rId5"/>
    <sheet name="00_CONFIG" sheetId="6" r:id="rId6"/>
  </sheets>
  <calcPr calcId="181029"/>
</workbook>
</file>

<file path=xl/calcChain.xml><?xml version="1.0" encoding="utf-8"?>
<calcChain xmlns="http://schemas.openxmlformats.org/spreadsheetml/2006/main">
  <c r="Q35" i="1" l="1"/>
  <c r="G40" i="1"/>
  <c r="J40" i="2"/>
  <c r="J39" i="2"/>
  <c r="T17" i="1"/>
  <c r="R17" i="1"/>
  <c r="P17" i="1"/>
  <c r="N17" i="1"/>
  <c r="Q4" i="1"/>
  <c r="L3" i="1"/>
  <c r="I3" i="1"/>
  <c r="G3" i="1"/>
  <c r="N7" i="2"/>
  <c r="N8" i="2"/>
  <c r="N9" i="2"/>
  <c r="N10" i="2"/>
  <c r="N11" i="2"/>
  <c r="N12" i="2"/>
  <c r="N13" i="2"/>
  <c r="N14" i="2"/>
  <c r="N15" i="2"/>
  <c r="N16" i="2"/>
  <c r="N6" i="2"/>
  <c r="M16" i="2"/>
  <c r="M15" i="2"/>
  <c r="M14" i="2"/>
  <c r="M13" i="2"/>
  <c r="M12" i="2"/>
  <c r="M11" i="2"/>
  <c r="M10" i="2"/>
  <c r="G17" i="2"/>
  <c r="H17" i="2"/>
  <c r="I17" i="2"/>
  <c r="J17" i="2"/>
  <c r="F17" i="2"/>
  <c r="L16" i="2"/>
  <c r="L15" i="2"/>
  <c r="L14" i="2"/>
  <c r="L13" i="2"/>
  <c r="L12" i="2"/>
  <c r="L11" i="2"/>
  <c r="L10" i="2"/>
  <c r="K16" i="2"/>
  <c r="K15" i="2"/>
  <c r="K14" i="2"/>
  <c r="K13" i="2"/>
  <c r="K12" i="2"/>
  <c r="K11" i="2"/>
  <c r="K10" i="2"/>
  <c r="M7" i="2"/>
  <c r="M8" i="2"/>
  <c r="M9" i="2"/>
  <c r="M6" i="2"/>
  <c r="L7" i="2"/>
  <c r="L8" i="2"/>
  <c r="L9" i="2"/>
  <c r="L6" i="2"/>
  <c r="K7" i="2"/>
  <c r="K8" i="2"/>
  <c r="K9" i="2"/>
  <c r="K6" i="2"/>
  <c r="N17" i="2" l="1"/>
  <c r="L17" i="2"/>
  <c r="K17" i="2"/>
  <c r="M17" i="2"/>
</calcChain>
</file>

<file path=xl/sharedStrings.xml><?xml version="1.0" encoding="utf-8"?>
<sst xmlns="http://schemas.openxmlformats.org/spreadsheetml/2006/main" count="258" uniqueCount="135">
  <si>
    <t>DBM | MIS</t>
  </si>
  <si>
    <t>Cliente: Banco X   |   Operação: Cobrança   |   Período: 01/09/2026 a 03/09/2026</t>
  </si>
  <si>
    <t>CPC</t>
  </si>
  <si>
    <t>INDICADORES</t>
  </si>
  <si>
    <t>Indicador</t>
  </si>
  <si>
    <t>Resultado</t>
  </si>
  <si>
    <t>Meta</t>
  </si>
  <si>
    <t>Atingimento</t>
  </si>
  <si>
    <t>Hora</t>
  </si>
  <si>
    <t>Tentativas</t>
  </si>
  <si>
    <t>Alô</t>
  </si>
  <si>
    <t>Acordos</t>
  </si>
  <si>
    <t>08h</t>
  </si>
  <si>
    <t>Pagamentos</t>
  </si>
  <si>
    <t>09h</t>
  </si>
  <si>
    <t>-</t>
  </si>
  <si>
    <t>10h</t>
  </si>
  <si>
    <t>Hit Rate</t>
  </si>
  <si>
    <t>11h</t>
  </si>
  <si>
    <t>12h</t>
  </si>
  <si>
    <t>13h</t>
  </si>
  <si>
    <t>ACOMPANHAMENTO OPERACIONAL</t>
  </si>
  <si>
    <t>Taxa CPC</t>
  </si>
  <si>
    <t>CPC → Acordo</t>
  </si>
  <si>
    <t>TMA</t>
  </si>
  <si>
    <t>00:02:31</t>
  </si>
  <si>
    <t>00:02:44</t>
  </si>
  <si>
    <t>00:03:02</t>
  </si>
  <si>
    <t>00:03:10</t>
  </si>
  <si>
    <t>DETALHAMENTO OPERACIONAL</t>
  </si>
  <si>
    <t>Data</t>
  </si>
  <si>
    <t>Operador</t>
  </si>
  <si>
    <t>Equipe</t>
  </si>
  <si>
    <t>Tabulação</t>
  </si>
  <si>
    <t>Subtabulação</t>
  </si>
  <si>
    <t>Quantidade</t>
  </si>
  <si>
    <t>TME</t>
  </si>
  <si>
    <t>03/09/2026</t>
  </si>
  <si>
    <t>Operador A</t>
  </si>
  <si>
    <t>Equipe 01</t>
  </si>
  <si>
    <t>SUCESSO</t>
  </si>
  <si>
    <t>Promessa de Pagamento</t>
  </si>
  <si>
    <t>00:00:12</t>
  </si>
  <si>
    <t>Operador B</t>
  </si>
  <si>
    <t>Equipe 02</t>
  </si>
  <si>
    <t>Renegociação</t>
  </si>
  <si>
    <t>00:03:04</t>
  </si>
  <si>
    <t>00:00:18</t>
  </si>
  <si>
    <t>Operador C</t>
  </si>
  <si>
    <t>Equipe 03</t>
  </si>
  <si>
    <t>Recusa de Pagamento</t>
  </si>
  <si>
    <t>00:02:45</t>
  </si>
  <si>
    <t>00:00:15</t>
  </si>
  <si>
    <t>DICIONÁRIO DE INDICADORES</t>
  </si>
  <si>
    <t>Definição</t>
  </si>
  <si>
    <t>Fórmula / Regra</t>
  </si>
  <si>
    <t>Unidade</t>
  </si>
  <si>
    <t>Fonte</t>
  </si>
  <si>
    <t>Total de tentativas válidas</t>
  </si>
  <si>
    <t>Soma de Qtde</t>
  </si>
  <si>
    <t>Volume</t>
  </si>
  <si>
    <t>SQL</t>
  </si>
  <si>
    <t>MIS</t>
  </si>
  <si>
    <t>Contato efetivo</t>
  </si>
  <si>
    <t>Regra de Alô homologada</t>
  </si>
  <si>
    <t>Contato com pessoa certa</t>
  </si>
  <si>
    <t>Status CPC homologados</t>
  </si>
  <si>
    <t>Percentual de tentativas que geraram Alô</t>
  </si>
  <si>
    <t>Alô / Tentativas</t>
  </si>
  <si>
    <t>%</t>
  </si>
  <si>
    <t>Promessa + Renegociação</t>
  </si>
  <si>
    <t>Soma dos status homologados</t>
  </si>
  <si>
    <t>Conversão de CPC em acordo</t>
  </si>
  <si>
    <t>Acordo / CPC</t>
  </si>
  <si>
    <t>Tempo médio de atendimento</t>
  </si>
  <si>
    <t>Média do tempo de atendimento</t>
  </si>
  <si>
    <t>Tempo</t>
  </si>
  <si>
    <t>BASE | DADOS TÉCNICOS</t>
  </si>
  <si>
    <t>Qtde</t>
  </si>
  <si>
    <t>CONFIGURAÇÃO | USO INTERNO MIS</t>
  </si>
  <si>
    <t>Campo</t>
  </si>
  <si>
    <t>Valor</t>
  </si>
  <si>
    <t>Cliente</t>
  </si>
  <si>
    <t>Banco X</t>
  </si>
  <si>
    <t>Operação</t>
  </si>
  <si>
    <t>Cobrança</t>
  </si>
  <si>
    <t>Período Inicial</t>
  </si>
  <si>
    <t>01/09/2026</t>
  </si>
  <si>
    <t>Período Final</t>
  </si>
  <si>
    <t>Responsável MIS</t>
  </si>
  <si>
    <t>Nome do Analista</t>
  </si>
  <si>
    <t>Versão</t>
  </si>
  <si>
    <t>v1.0</t>
  </si>
  <si>
    <t>Última Atualização</t>
  </si>
  <si>
    <t>03/09/2026 15:00</t>
  </si>
  <si>
    <t>Resumo</t>
  </si>
  <si>
    <t>Operacional</t>
  </si>
  <si>
    <t>Detalhamento</t>
  </si>
  <si>
    <t>Indicadores</t>
  </si>
  <si>
    <t>Base</t>
  </si>
  <si>
    <t>Data da Extração</t>
  </si>
  <si>
    <t>14h</t>
  </si>
  <si>
    <t>15h</t>
  </si>
  <si>
    <t>16h</t>
  </si>
  <si>
    <t>17h</t>
  </si>
  <si>
    <t>18h</t>
  </si>
  <si>
    <t>TOTAL</t>
  </si>
  <si>
    <t>Acordo → Pago</t>
  </si>
  <si>
    <t>Taxa de CPC</t>
  </si>
  <si>
    <t>Pagamentos Efetivados</t>
  </si>
  <si>
    <t>Percentual de CPC sobre contatos</t>
  </si>
  <si>
    <t>Conversão de acordos em pagamentos</t>
  </si>
  <si>
    <t>Tempo médio de espera</t>
  </si>
  <si>
    <t>CPC / Alô</t>
  </si>
  <si>
    <t>Pagamentos / Acordos</t>
  </si>
  <si>
    <t>Média Espera</t>
  </si>
  <si>
    <t>Observações</t>
  </si>
  <si>
    <t>Inclui todas as tentativas válidas</t>
  </si>
  <si>
    <t>Conforme subtabulações definidas</t>
  </si>
  <si>
    <t>Tabulações &lt;&gt; MAQUINA</t>
  </si>
  <si>
    <t>Subtabulações Promessa e Renegociação</t>
  </si>
  <si>
    <t>Subtabulações Pagamento / Pago</t>
  </si>
  <si>
    <t>Formato hh:mm:ss</t>
  </si>
  <si>
    <t>Soma pagamentos</t>
  </si>
  <si>
    <t>Cliente:</t>
  </si>
  <si>
    <t>RELATÓRIO</t>
  </si>
  <si>
    <t>Operação:</t>
  </si>
  <si>
    <t>Período:</t>
  </si>
  <si>
    <t>OPERACIONAL</t>
  </si>
  <si>
    <t>Realizado</t>
  </si>
  <si>
    <t>Acordo → Pagos</t>
  </si>
  <si>
    <t>TAXAS DE CONVERSÃO</t>
  </si>
  <si>
    <t>% Atingimento</t>
  </si>
  <si>
    <t>Meta%</t>
  </si>
  <si>
    <t>META X REALIZADO (ACORDOS)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</si>
</sst>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3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4"/>
      <color rgb="FF04503F"/>
      <name val="Calibri"/>
    </font>
    <font>
      <sz val="10"/>
      <color rgb="FF666666"/>
      <name val="Calibri"/>
    </font>
    <font>
      <b/>
      <sz val="12"/>
      <color rgb="FF04503F"/>
      <name val="Calibri"/>
    </font>
    <font>
      <b/>
      <sz val="11"/>
      <color rgb="FFFFFFFF"/>
      <name val="Calibri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theme="6" tint="0.79998168889431442"/>
      <name val="Calibri"/>
      <family val="2"/>
      <scheme val="minor"/>
    </font>
    <font>
      <b/>
      <sz val="18"/>
      <color rgb="FFFFFFFF"/>
      <name val="Calibri"/>
      <family val="2"/>
    </font>
    <font>
      <b/>
      <sz val="14"/>
      <color rgb="FF04503F"/>
      <name val="Calibri"/>
      <family val="2"/>
    </font>
    <font>
      <sz val="10"/>
      <color rgb="FF666666"/>
      <name val="Calibri"/>
      <family val="2"/>
    </font>
    <font>
      <b/>
      <sz val="10"/>
      <color rgb="FF666666"/>
      <name val="Calibri"/>
      <family val="2"/>
    </font>
    <font>
      <b/>
      <sz val="11"/>
      <color rgb="FF666666"/>
      <name val="Calibri"/>
      <family val="2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A4A48"/>
      <name val="Calibri"/>
      <family val="2"/>
      <scheme val="minor"/>
    </font>
    <font>
      <b/>
      <sz val="10"/>
      <color rgb="FF0A4A48"/>
      <name val="Calibri"/>
      <family val="2"/>
    </font>
    <font>
      <b/>
      <sz val="12"/>
      <color rgb="FF04503F"/>
      <name val="Calibri"/>
      <family val="2"/>
    </font>
    <font>
      <b/>
      <sz val="24"/>
      <color rgb="FF0A4A48"/>
      <name val="Calibri"/>
      <family val="2"/>
      <scheme val="minor"/>
    </font>
    <font>
      <b/>
      <sz val="11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4503F"/>
      </patternFill>
    </fill>
    <fill>
      <patternFill patternType="solid">
        <fgColor rgb="FFFFFFFF"/>
      </patternFill>
    </fill>
    <fill>
      <patternFill patternType="solid">
        <fgColor rgb="FF02754F"/>
      </patternFill>
    </fill>
    <fill>
      <patternFill patternType="solid">
        <fgColor rgb="FF0A4A48"/>
        <bgColor indexed="64"/>
      </patternFill>
    </fill>
    <fill>
      <patternFill patternType="solid">
        <fgColor rgb="FF06705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E3E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3" fillId="0" borderId="0" xfId="0" applyFont="1"/>
    <xf numFmtId="0" fontId="4" fillId="0" borderId="0" xfId="0" applyFont="1"/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0" borderId="1" xfId="0" applyBorder="1"/>
    <xf numFmtId="0" fontId="5" fillId="4" borderId="1" xfId="0" applyFont="1" applyFill="1" applyBorder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5" fillId="5" borderId="0" xfId="0" applyFont="1" applyFill="1" applyAlignment="1">
      <alignment horizontal="center"/>
    </xf>
    <xf numFmtId="0" fontId="0" fillId="5" borderId="0" xfId="0" applyFill="1"/>
    <xf numFmtId="0" fontId="5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11" fillId="5" borderId="0" xfId="0" applyFont="1" applyFill="1"/>
    <xf numFmtId="0" fontId="1" fillId="5" borderId="0" xfId="0" applyFont="1" applyFill="1"/>
    <xf numFmtId="0" fontId="12" fillId="3" borderId="0" xfId="0" applyFont="1" applyFill="1" applyAlignment="1">
      <alignment vertical="center"/>
    </xf>
    <xf numFmtId="0" fontId="13" fillId="0" borderId="0" xfId="0" applyFont="1"/>
    <xf numFmtId="3" fontId="0" fillId="0" borderId="0" xfId="0" applyNumberFormat="1"/>
    <xf numFmtId="3" fontId="0" fillId="0" borderId="1" xfId="0" applyNumberFormat="1" applyBorder="1" applyAlignment="1">
      <alignment horizontal="center" vertical="center"/>
    </xf>
    <xf numFmtId="3" fontId="5" fillId="5" borderId="0" xfId="0" applyNumberFormat="1" applyFont="1" applyFill="1" applyAlignment="1">
      <alignment horizontal="center"/>
    </xf>
    <xf numFmtId="10" fontId="5" fillId="5" borderId="0" xfId="0" applyNumberFormat="1" applyFont="1" applyFill="1" applyAlignment="1">
      <alignment horizontal="center"/>
    </xf>
    <xf numFmtId="0" fontId="0" fillId="0" borderId="0" xfId="0" applyAlignment="1">
      <alignment wrapText="1"/>
    </xf>
    <xf numFmtId="0" fontId="9" fillId="5" borderId="0" xfId="0" applyFont="1" applyFill="1" applyAlignment="1">
      <alignment horizontal="center"/>
    </xf>
    <xf numFmtId="164" fontId="5" fillId="5" borderId="0" xfId="0" applyNumberFormat="1" applyFont="1" applyFill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6" fillId="3" borderId="0" xfId="0" applyFont="1" applyFill="1"/>
    <xf numFmtId="0" fontId="14" fillId="0" borderId="0" xfId="0" applyFont="1" applyAlignment="1">
      <alignment horizontal="right"/>
    </xf>
    <xf numFmtId="0" fontId="12" fillId="3" borderId="0" xfId="0" applyFont="1" applyFill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20" fillId="0" borderId="0" xfId="0" applyFont="1"/>
    <xf numFmtId="10" fontId="0" fillId="0" borderId="0" xfId="0" applyNumberFormat="1"/>
    <xf numFmtId="10" fontId="0" fillId="0" borderId="0" xfId="0" applyNumberFormat="1" applyAlignment="1">
      <alignment horizontal="center"/>
    </xf>
    <xf numFmtId="10" fontId="7" fillId="0" borderId="0" xfId="0" applyNumberFormat="1" applyFont="1" applyAlignment="1">
      <alignment horizontal="center" vertical="center"/>
    </xf>
    <xf numFmtId="0" fontId="7" fillId="0" borderId="0" xfId="0" applyFont="1"/>
    <xf numFmtId="0" fontId="22" fillId="0" borderId="0" xfId="0" applyFont="1" applyAlignment="1">
      <alignment horizontal="center"/>
    </xf>
    <xf numFmtId="10" fontId="7" fillId="0" borderId="0" xfId="0" applyNumberFormat="1" applyFont="1"/>
    <xf numFmtId="0" fontId="10" fillId="6" borderId="0" xfId="0" applyFont="1" applyFill="1" applyAlignment="1">
      <alignment horizontal="center" vertical="center"/>
    </xf>
    <xf numFmtId="3" fontId="8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center" vertical="center"/>
    </xf>
    <xf numFmtId="22" fontId="15" fillId="0" borderId="0" xfId="0" applyNumberFormat="1" applyFont="1" applyAlignment="1">
      <alignment horizontal="left"/>
    </xf>
    <xf numFmtId="10" fontId="8" fillId="0" borderId="0" xfId="0" applyNumberFormat="1" applyFont="1" applyAlignment="1">
      <alignment horizontal="center" vertical="center"/>
    </xf>
    <xf numFmtId="10" fontId="21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1" fillId="5" borderId="0" xfId="0" applyFont="1" applyFill="1" applyAlignment="1">
      <alignment horizontal="left"/>
    </xf>
    <xf numFmtId="0" fontId="1" fillId="5" borderId="0" xfId="0" applyFont="1" applyFill="1" applyAlignment="1">
      <alignment horizontal="left"/>
    </xf>
  </cellXfs>
  <cellStyles count="1">
    <cellStyle name="Normal" xfId="0" builtinId="0"/>
  </cellStyles>
  <dxfs count="1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0A4A48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colors>
    <mruColors>
      <color rgb="FF0A4A48"/>
      <color rgb="FF067059"/>
      <color rgb="FF04503F"/>
      <color rgb="FF409A6F"/>
      <color rgb="FF52B788"/>
      <color rgb="FF38EF7D"/>
      <color rgb="FF2EC4B6"/>
      <color rgb="FF0F5351"/>
      <color rgb="FF078B6F"/>
      <color rgb="FF09B3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'02_OPERACIONAL'!$F$5</c:f>
              <c:strCache>
                <c:ptCount val="1"/>
                <c:pt idx="0">
                  <c:v>Tentativas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58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3">
                  <a:shade val="58000"/>
                </a:schemeClr>
              </a:solidFill>
              <a:ln w="9525" cap="flat" cmpd="sng" algn="ctr">
                <a:solidFill>
                  <a:schemeClr val="accent3">
                    <a:shade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'02_OPERACIONAL'!$E$6:$E$16</c:f>
              <c:strCache>
                <c:ptCount val="11"/>
                <c:pt idx="0">
                  <c:v>08h</c:v>
                </c:pt>
                <c:pt idx="1">
                  <c:v>09h</c:v>
                </c:pt>
                <c:pt idx="2">
                  <c:v>10h</c:v>
                </c:pt>
                <c:pt idx="3">
                  <c:v>11h</c:v>
                </c:pt>
                <c:pt idx="4">
                  <c:v>12h</c:v>
                </c:pt>
                <c:pt idx="5">
                  <c:v>13h</c:v>
                </c:pt>
                <c:pt idx="6">
                  <c:v>14h</c:v>
                </c:pt>
                <c:pt idx="7">
                  <c:v>15h</c:v>
                </c:pt>
                <c:pt idx="8">
                  <c:v>16h</c:v>
                </c:pt>
                <c:pt idx="9">
                  <c:v>17h</c:v>
                </c:pt>
                <c:pt idx="10">
                  <c:v>18h</c:v>
                </c:pt>
              </c:strCache>
            </c:strRef>
          </c:cat>
          <c:val>
            <c:numRef>
              <c:f>'02_OPERACIONAL'!$F$6:$F$16</c:f>
              <c:numCache>
                <c:formatCode>#,##0</c:formatCode>
                <c:ptCount val="11"/>
                <c:pt idx="0">
                  <c:v>1245</c:v>
                </c:pt>
                <c:pt idx="1">
                  <c:v>3820</c:v>
                </c:pt>
                <c:pt idx="2">
                  <c:v>4560</c:v>
                </c:pt>
                <c:pt idx="3">
                  <c:v>6120</c:v>
                </c:pt>
                <c:pt idx="4">
                  <c:v>7890</c:v>
                </c:pt>
                <c:pt idx="5">
                  <c:v>8450</c:v>
                </c:pt>
                <c:pt idx="6">
                  <c:v>8100</c:v>
                </c:pt>
                <c:pt idx="7">
                  <c:v>7820</c:v>
                </c:pt>
                <c:pt idx="8">
                  <c:v>6150</c:v>
                </c:pt>
                <c:pt idx="9">
                  <c:v>4520</c:v>
                </c:pt>
                <c:pt idx="10">
                  <c:v>2549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A9E-438E-9FF1-EFBE37E887BA}"/>
            </c:ext>
          </c:extLst>
        </c:ser>
        <c:ser>
          <c:idx val="1"/>
          <c:order val="1"/>
          <c:tx>
            <c:strRef>
              <c:f>'02_OPERACIONAL'!$G$5</c:f>
              <c:strCache>
                <c:ptCount val="1"/>
                <c:pt idx="0">
                  <c:v>Alô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86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3">
                  <a:shade val="86000"/>
                </a:schemeClr>
              </a:solidFill>
              <a:ln w="9525" cap="flat" cmpd="sng" algn="ctr">
                <a:solidFill>
                  <a:schemeClr val="accent3">
                    <a:shade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'02_OPERACIONAL'!$E$6:$E$16</c:f>
              <c:strCache>
                <c:ptCount val="11"/>
                <c:pt idx="0">
                  <c:v>08h</c:v>
                </c:pt>
                <c:pt idx="1">
                  <c:v>09h</c:v>
                </c:pt>
                <c:pt idx="2">
                  <c:v>10h</c:v>
                </c:pt>
                <c:pt idx="3">
                  <c:v>11h</c:v>
                </c:pt>
                <c:pt idx="4">
                  <c:v>12h</c:v>
                </c:pt>
                <c:pt idx="5">
                  <c:v>13h</c:v>
                </c:pt>
                <c:pt idx="6">
                  <c:v>14h</c:v>
                </c:pt>
                <c:pt idx="7">
                  <c:v>15h</c:v>
                </c:pt>
                <c:pt idx="8">
                  <c:v>16h</c:v>
                </c:pt>
                <c:pt idx="9">
                  <c:v>17h</c:v>
                </c:pt>
                <c:pt idx="10">
                  <c:v>18h</c:v>
                </c:pt>
              </c:strCache>
            </c:strRef>
          </c:cat>
          <c:val>
            <c:numRef>
              <c:f>'02_OPERACIONAL'!$G$6:$G$16</c:f>
              <c:numCache>
                <c:formatCode>#,##0</c:formatCode>
                <c:ptCount val="11"/>
                <c:pt idx="0">
                  <c:v>182</c:v>
                </c:pt>
                <c:pt idx="1">
                  <c:v>612</c:v>
                </c:pt>
                <c:pt idx="2">
                  <c:v>812</c:v>
                </c:pt>
                <c:pt idx="3">
                  <c:v>1150</c:v>
                </c:pt>
                <c:pt idx="4">
                  <c:v>1520</c:v>
                </c:pt>
                <c:pt idx="5">
                  <c:v>1630</c:v>
                </c:pt>
                <c:pt idx="6">
                  <c:v>1520</c:v>
                </c:pt>
                <c:pt idx="7">
                  <c:v>1420</c:v>
                </c:pt>
                <c:pt idx="8">
                  <c:v>1080</c:v>
                </c:pt>
                <c:pt idx="9">
                  <c:v>760</c:v>
                </c:pt>
                <c:pt idx="10">
                  <c:v>494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A9E-438E-9FF1-EFBE37E887BA}"/>
            </c:ext>
          </c:extLst>
        </c:ser>
        <c:ser>
          <c:idx val="2"/>
          <c:order val="2"/>
          <c:tx>
            <c:strRef>
              <c:f>'02_OPERACIONAL'!$H$5</c:f>
              <c:strCache>
                <c:ptCount val="1"/>
                <c:pt idx="0">
                  <c:v>CPC</c:v>
                </c:pt>
              </c:strCache>
            </c:strRef>
          </c:tx>
          <c:spPr>
            <a:ln w="28575" cap="rnd" cmpd="sng" algn="ctr">
              <a:solidFill>
                <a:schemeClr val="accent3">
                  <a:tint val="86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3">
                  <a:tint val="86000"/>
                </a:schemeClr>
              </a:solidFill>
              <a:ln w="9525" cap="flat" cmpd="sng" algn="ctr">
                <a:solidFill>
                  <a:schemeClr val="accent3">
                    <a:tint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'02_OPERACIONAL'!$E$6:$E$16</c:f>
              <c:strCache>
                <c:ptCount val="11"/>
                <c:pt idx="0">
                  <c:v>08h</c:v>
                </c:pt>
                <c:pt idx="1">
                  <c:v>09h</c:v>
                </c:pt>
                <c:pt idx="2">
                  <c:v>10h</c:v>
                </c:pt>
                <c:pt idx="3">
                  <c:v>11h</c:v>
                </c:pt>
                <c:pt idx="4">
                  <c:v>12h</c:v>
                </c:pt>
                <c:pt idx="5">
                  <c:v>13h</c:v>
                </c:pt>
                <c:pt idx="6">
                  <c:v>14h</c:v>
                </c:pt>
                <c:pt idx="7">
                  <c:v>15h</c:v>
                </c:pt>
                <c:pt idx="8">
                  <c:v>16h</c:v>
                </c:pt>
                <c:pt idx="9">
                  <c:v>17h</c:v>
                </c:pt>
                <c:pt idx="10">
                  <c:v>18h</c:v>
                </c:pt>
              </c:strCache>
            </c:strRef>
          </c:cat>
          <c:val>
            <c:numRef>
              <c:f>'02_OPERACIONAL'!$H$6:$H$16</c:f>
              <c:numCache>
                <c:formatCode>#,##0</c:formatCode>
                <c:ptCount val="11"/>
                <c:pt idx="0">
                  <c:v>42</c:v>
                </c:pt>
                <c:pt idx="1">
                  <c:v>143</c:v>
                </c:pt>
                <c:pt idx="2">
                  <c:v>194</c:v>
                </c:pt>
                <c:pt idx="3">
                  <c:v>276</c:v>
                </c:pt>
                <c:pt idx="4">
                  <c:v>368</c:v>
                </c:pt>
                <c:pt idx="5">
                  <c:v>392</c:v>
                </c:pt>
                <c:pt idx="6">
                  <c:v>360</c:v>
                </c:pt>
                <c:pt idx="7">
                  <c:v>334</c:v>
                </c:pt>
                <c:pt idx="8">
                  <c:v>258</c:v>
                </c:pt>
                <c:pt idx="9">
                  <c:v>174</c:v>
                </c:pt>
                <c:pt idx="10">
                  <c:v>127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A9E-438E-9FF1-EFBE37E887BA}"/>
            </c:ext>
          </c:extLst>
        </c:ser>
        <c:ser>
          <c:idx val="3"/>
          <c:order val="3"/>
          <c:tx>
            <c:strRef>
              <c:f>'02_OPERACIONAL'!$I$5</c:f>
              <c:strCache>
                <c:ptCount val="1"/>
                <c:pt idx="0">
                  <c:v>Acordos</c:v>
                </c:pt>
              </c:strCache>
            </c:strRef>
          </c:tx>
          <c:spPr>
            <a:ln w="28575" cap="rnd" cmpd="sng" algn="ctr">
              <a:solidFill>
                <a:schemeClr val="accent3">
                  <a:tint val="58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noFill/>
              <a:ln w="9525" cap="flat" cmpd="sng" algn="ctr">
                <a:solidFill>
                  <a:schemeClr val="accent3">
                    <a:tint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'02_OPERACIONAL'!$E$6:$E$16</c:f>
              <c:strCache>
                <c:ptCount val="11"/>
                <c:pt idx="0">
                  <c:v>08h</c:v>
                </c:pt>
                <c:pt idx="1">
                  <c:v>09h</c:v>
                </c:pt>
                <c:pt idx="2">
                  <c:v>10h</c:v>
                </c:pt>
                <c:pt idx="3">
                  <c:v>11h</c:v>
                </c:pt>
                <c:pt idx="4">
                  <c:v>12h</c:v>
                </c:pt>
                <c:pt idx="5">
                  <c:v>13h</c:v>
                </c:pt>
                <c:pt idx="6">
                  <c:v>14h</c:v>
                </c:pt>
                <c:pt idx="7">
                  <c:v>15h</c:v>
                </c:pt>
                <c:pt idx="8">
                  <c:v>16h</c:v>
                </c:pt>
                <c:pt idx="9">
                  <c:v>17h</c:v>
                </c:pt>
                <c:pt idx="10">
                  <c:v>18h</c:v>
                </c:pt>
              </c:strCache>
            </c:strRef>
          </c:cat>
          <c:val>
            <c:numRef>
              <c:f>'02_OPERACIONAL'!$I$6:$I$16</c:f>
              <c:numCache>
                <c:formatCode>#,##0</c:formatCode>
                <c:ptCount val="11"/>
                <c:pt idx="0">
                  <c:v>20</c:v>
                </c:pt>
                <c:pt idx="1">
                  <c:v>89</c:v>
                </c:pt>
                <c:pt idx="2">
                  <c:v>121</c:v>
                </c:pt>
                <c:pt idx="3">
                  <c:v>176</c:v>
                </c:pt>
                <c:pt idx="4">
                  <c:v>221</c:v>
                </c:pt>
                <c:pt idx="5">
                  <c:v>245</c:v>
                </c:pt>
                <c:pt idx="6">
                  <c:v>236</c:v>
                </c:pt>
                <c:pt idx="7">
                  <c:v>217</c:v>
                </c:pt>
                <c:pt idx="8">
                  <c:v>170</c:v>
                </c:pt>
                <c:pt idx="9">
                  <c:v>106</c:v>
                </c:pt>
                <c:pt idx="10">
                  <c:v>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9A9E-438E-9FF1-EFBE37E887B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doughnutChart>
        <c:varyColors val="1"/>
        <c:ser>
          <c:idx val="1"/>
          <c:order val="0"/>
          <c:tx>
            <c:strRef>
              <c:f>'02_OPERACIONAL'!$F$38</c:f>
              <c:strCache>
                <c:ptCount val="1"/>
                <c:pt idx="0">
                  <c:v>Hit Rate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/>
          </c:spPr>
          <c:dPt>
            <c:idx val="0"/>
            <c:bubble3D val="0"/>
            <c:spPr>
              <a:gradFill>
                <a:gsLst>
                  <a:gs pos="0">
                    <a:schemeClr val="accent3">
                      <a:lumMod val="20000"/>
                      <a:lumOff val="80000"/>
                    </a:schemeClr>
                  </a:gs>
                  <a:gs pos="74000">
                    <a:schemeClr val="accent3">
                      <a:lumMod val="40000"/>
                      <a:lumOff val="60000"/>
                    </a:schemeClr>
                  </a:gs>
                  <a:gs pos="83000">
                    <a:schemeClr val="accent3">
                      <a:lumMod val="20000"/>
                      <a:lumOff val="80000"/>
                    </a:schemeClr>
                  </a:gs>
                  <a:gs pos="100000">
                    <a:schemeClr val="accent3">
                      <a:lumMod val="20000"/>
                      <a:lumOff val="80000"/>
                    </a:schemeClr>
                  </a:gs>
                </a:gsLst>
                <a:lin ang="5400000" scaled="1"/>
              </a:gradFill>
              <a:ln w="28575" cap="rnd" cmpd="sng" algn="ctr">
                <a:noFill/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09F6-4BE8-B8E3-D198B599AD0F}"/>
              </c:ext>
            </c:extLst>
          </c:dPt>
          <c:dPt>
            <c:idx val="1"/>
            <c:bubble3D val="0"/>
            <c:spPr>
              <a:solidFill>
                <a:schemeClr val="accent3">
                  <a:tint val="77000"/>
                </a:schemeClr>
              </a:solidFill>
              <a:ln w="28575" cap="rnd" cmpd="sng" algn="ctr">
                <a:noFill/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BC0F-4BDC-B903-36DBE172001D}"/>
              </c:ext>
            </c:extLst>
          </c:dPt>
          <c:cat>
            <c:strRef>
              <c:f>'02_OPERACIONAL'!$E$39:$E$40</c:f>
              <c:strCache>
                <c:ptCount val="2"/>
                <c:pt idx="0">
                  <c:v>Meta</c:v>
                </c:pt>
                <c:pt idx="1">
                  <c:v>Realizado</c:v>
                </c:pt>
              </c:strCache>
            </c:strRef>
          </c:cat>
          <c:val>
            <c:numRef>
              <c:f>'02_OPERACIONAL'!$F$39:$F$40</c:f>
              <c:numCache>
                <c:formatCode>0.00%</c:formatCode>
                <c:ptCount val="2"/>
                <c:pt idx="0">
                  <c:v>0.7</c:v>
                </c:pt>
                <c:pt idx="1">
                  <c:v>0.17861036406516481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9F6-4BE8-B8E3-D198B599AD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'02_OPERACIONAL'!$G$38</c:f>
              <c:strCache>
                <c:ptCount val="1"/>
                <c:pt idx="0">
                  <c:v>Taxa CPC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/>
          </c:spPr>
          <c:dPt>
            <c:idx val="0"/>
            <c:bubble3D val="0"/>
            <c:spPr>
              <a:gradFill>
                <a:gsLst>
                  <a:gs pos="0">
                    <a:schemeClr val="accent3">
                      <a:lumMod val="20000"/>
                      <a:lumOff val="80000"/>
                    </a:schemeClr>
                  </a:gs>
                  <a:gs pos="74000">
                    <a:schemeClr val="accent3">
                      <a:lumMod val="40000"/>
                      <a:lumOff val="60000"/>
                    </a:schemeClr>
                  </a:gs>
                  <a:gs pos="83000">
                    <a:schemeClr val="accent3">
                      <a:lumMod val="20000"/>
                      <a:lumOff val="80000"/>
                    </a:schemeClr>
                  </a:gs>
                  <a:gs pos="100000">
                    <a:schemeClr val="accent3">
                      <a:lumMod val="20000"/>
                      <a:lumOff val="80000"/>
                    </a:schemeClr>
                  </a:gs>
                </a:gsLst>
                <a:lin ang="5400000" scaled="1"/>
              </a:gradFill>
              <a:ln w="28575" cap="rnd" cmpd="sng" algn="ctr">
                <a:noFill/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9CB-4697-BB0C-020B475EEC62}"/>
              </c:ext>
            </c:extLst>
          </c:dPt>
          <c:dPt>
            <c:idx val="1"/>
            <c:bubble3D val="0"/>
            <c:spPr>
              <a:solidFill>
                <a:schemeClr val="accent3">
                  <a:tint val="77000"/>
                </a:schemeClr>
              </a:solidFill>
              <a:ln w="28575" cap="rnd" cmpd="sng" algn="ctr">
                <a:noFill/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B9CB-4697-BB0C-020B475EEC62}"/>
              </c:ext>
            </c:extLst>
          </c:dPt>
          <c:val>
            <c:numRef>
              <c:f>'02_OPERACIONAL'!$G$39:$G$40</c:f>
              <c:numCache>
                <c:formatCode>0.00%</c:formatCode>
                <c:ptCount val="2"/>
                <c:pt idx="0">
                  <c:v>0.8</c:v>
                </c:pt>
                <c:pt idx="1">
                  <c:v>0.23844693897921596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CB-4697-BB0C-020B475EE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'02_OPERACIONAL'!$H$38</c:f>
              <c:strCache>
                <c:ptCount val="1"/>
                <c:pt idx="0">
                  <c:v>CPC → Acordo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/>
          </c:spPr>
          <c:dPt>
            <c:idx val="0"/>
            <c:bubble3D val="0"/>
            <c:spPr>
              <a:gradFill>
                <a:gsLst>
                  <a:gs pos="0">
                    <a:schemeClr val="accent3">
                      <a:lumMod val="20000"/>
                      <a:lumOff val="80000"/>
                    </a:schemeClr>
                  </a:gs>
                  <a:gs pos="74000">
                    <a:schemeClr val="accent3">
                      <a:lumMod val="40000"/>
                      <a:lumOff val="60000"/>
                    </a:schemeClr>
                  </a:gs>
                  <a:gs pos="83000">
                    <a:schemeClr val="accent3">
                      <a:lumMod val="20000"/>
                      <a:lumOff val="80000"/>
                    </a:schemeClr>
                  </a:gs>
                  <a:gs pos="100000">
                    <a:schemeClr val="accent3">
                      <a:lumMod val="20000"/>
                      <a:lumOff val="80000"/>
                    </a:schemeClr>
                  </a:gs>
                </a:gsLst>
                <a:lin ang="5400000" scaled="1"/>
              </a:gradFill>
              <a:ln w="28575" cap="rnd" cmpd="sng" algn="ctr">
                <a:noFill/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875-4AD0-8C3E-FC92C8B92237}"/>
              </c:ext>
            </c:extLst>
          </c:dPt>
          <c:dPt>
            <c:idx val="1"/>
            <c:bubble3D val="0"/>
            <c:spPr>
              <a:solidFill>
                <a:schemeClr val="accent3">
                  <a:tint val="77000"/>
                </a:schemeClr>
              </a:solidFill>
              <a:ln w="28575" cap="rnd" cmpd="sng" algn="ctr">
                <a:noFill/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875-4AD0-8C3E-FC92C8B92237}"/>
              </c:ext>
            </c:extLst>
          </c:dPt>
          <c:val>
            <c:numRef>
              <c:f>'02_OPERACIONAL'!$H$39:$H$40</c:f>
              <c:numCache>
                <c:formatCode>0.00%</c:formatCode>
                <c:ptCount val="2"/>
                <c:pt idx="0">
                  <c:v>0.8</c:v>
                </c:pt>
                <c:pt idx="1">
                  <c:v>0.60857303933277795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875-4AD0-8C3E-FC92C8B92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'02_OPERACIONAL'!$I$38</c:f>
              <c:strCache>
                <c:ptCount val="1"/>
                <c:pt idx="0">
                  <c:v>Acordo → Pago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/>
          </c:spPr>
          <c:dPt>
            <c:idx val="0"/>
            <c:bubble3D val="0"/>
            <c:spPr>
              <a:gradFill>
                <a:gsLst>
                  <a:gs pos="0">
                    <a:schemeClr val="accent3">
                      <a:lumMod val="20000"/>
                      <a:lumOff val="80000"/>
                    </a:schemeClr>
                  </a:gs>
                  <a:gs pos="74000">
                    <a:schemeClr val="accent3">
                      <a:lumMod val="40000"/>
                      <a:lumOff val="60000"/>
                    </a:schemeClr>
                  </a:gs>
                  <a:gs pos="83000">
                    <a:schemeClr val="accent3">
                      <a:lumMod val="20000"/>
                      <a:lumOff val="80000"/>
                    </a:schemeClr>
                  </a:gs>
                  <a:gs pos="100000">
                    <a:schemeClr val="accent3">
                      <a:lumMod val="20000"/>
                      <a:lumOff val="80000"/>
                    </a:schemeClr>
                  </a:gs>
                </a:gsLst>
                <a:lin ang="5400000" scaled="1"/>
              </a:gradFill>
              <a:ln w="28575" cap="rnd" cmpd="sng" algn="ctr">
                <a:noFill/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C87-471D-80C0-B6D2751F7274}"/>
              </c:ext>
            </c:extLst>
          </c:dPt>
          <c:dPt>
            <c:idx val="1"/>
            <c:bubble3D val="0"/>
            <c:spPr>
              <a:solidFill>
                <a:schemeClr val="accent3">
                  <a:tint val="77000"/>
                </a:schemeClr>
              </a:solidFill>
              <a:ln w="28575" cap="rnd" cmpd="sng" algn="ctr">
                <a:noFill/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C87-471D-80C0-B6D2751F7274}"/>
              </c:ext>
            </c:extLst>
          </c:dPt>
          <c:val>
            <c:numRef>
              <c:f>'02_OPERACIONAL'!$I$39:$I$40</c:f>
              <c:numCache>
                <c:formatCode>0.00%</c:formatCode>
                <c:ptCount val="2"/>
                <c:pt idx="0">
                  <c:v>0.5</c:v>
                </c:pt>
                <c:pt idx="1">
                  <c:v>0.11550404247173975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C87-471D-80C0-B6D2751F7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'01_RESUMO'!$F$37</c:f>
              <c:strCache>
                <c:ptCount val="1"/>
                <c:pt idx="0">
                  <c:v>Meta%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 w="28575" cap="rnd" cmpd="sng" algn="ctr">
              <a:solidFill>
                <a:schemeClr val="accent3">
                  <a:shade val="58000"/>
                  <a:shade val="95000"/>
                  <a:satMod val="105000"/>
                </a:schemeClr>
              </a:solidFill>
              <a:prstDash val="solid"/>
              <a:round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'01_RESUMO'!$E$38</c:f>
              <c:strCache>
                <c:ptCount val="1"/>
                <c:pt idx="0">
                  <c:v>Acordos</c:v>
                </c:pt>
              </c:strCache>
            </c:strRef>
          </c:cat>
          <c:val>
            <c:numRef>
              <c:f>'01_RESUMO'!$F$38</c:f>
              <c:numCache>
                <c:formatCode>0.00%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FD-4DC4-BB7A-3CBE8C8F1C17}"/>
            </c:ext>
          </c:extLst>
        </c:ser>
        <c:ser>
          <c:idx val="1"/>
          <c:order val="1"/>
          <c:tx>
            <c:strRef>
              <c:f>'01_RESUMO'!$G$37</c:f>
              <c:strCache>
                <c:ptCount val="1"/>
                <c:pt idx="0">
                  <c:v>Atingimento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'01_RESUMO'!$E$38</c:f>
              <c:strCache>
                <c:ptCount val="1"/>
                <c:pt idx="0">
                  <c:v>Acordos</c:v>
                </c:pt>
              </c:strCache>
            </c:strRef>
          </c:cat>
          <c:val>
            <c:numRef>
              <c:f>'01_RESUMO'!$G$38</c:f>
              <c:numCache>
                <c:formatCode>0.00%</c:formatCode>
                <c:ptCount val="1"/>
                <c:pt idx="0">
                  <c:v>0.92941176470588238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FD-4DC4-BB7A-3CBE8C8F1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0"/>
        <c:overlap val="-43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numFmt formatCode="0.00%" sourceLinked="1"/>
        <c:majorTickMark val="out"/>
        <c:minorTickMark val="none"/>
        <c:tickLblPos val="nextTo"/>
        <c:crossAx val="1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Evolução por Hora</a:t>
            </a:r>
          </a:p>
        </c:rich>
      </c:tx>
      <c:layout>
        <c:manualLayout>
          <c:xMode val="edge"/>
          <c:yMode val="edge"/>
          <c:x val="2.4700041380160666E-2"/>
          <c:y val="4.755042148666376E-2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'02_OPERACIONAL'!$F$5</c:f>
              <c:strCache>
                <c:ptCount val="1"/>
                <c:pt idx="0">
                  <c:v>Tentativas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58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3">
                  <a:shade val="58000"/>
                </a:schemeClr>
              </a:solidFill>
              <a:ln w="9525" cap="flat" cmpd="sng" algn="ctr">
                <a:solidFill>
                  <a:schemeClr val="accent3">
                    <a:shade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'02_OPERACIONAL'!$E$6:$E$16</c:f>
              <c:strCache>
                <c:ptCount val="11"/>
                <c:pt idx="0">
                  <c:v>08h</c:v>
                </c:pt>
                <c:pt idx="1">
                  <c:v>09h</c:v>
                </c:pt>
                <c:pt idx="2">
                  <c:v>10h</c:v>
                </c:pt>
                <c:pt idx="3">
                  <c:v>11h</c:v>
                </c:pt>
                <c:pt idx="4">
                  <c:v>12h</c:v>
                </c:pt>
                <c:pt idx="5">
                  <c:v>13h</c:v>
                </c:pt>
                <c:pt idx="6">
                  <c:v>14h</c:v>
                </c:pt>
                <c:pt idx="7">
                  <c:v>15h</c:v>
                </c:pt>
                <c:pt idx="8">
                  <c:v>16h</c:v>
                </c:pt>
                <c:pt idx="9">
                  <c:v>17h</c:v>
                </c:pt>
                <c:pt idx="10">
                  <c:v>18h</c:v>
                </c:pt>
              </c:strCache>
            </c:strRef>
          </c:cat>
          <c:val>
            <c:numRef>
              <c:f>'02_OPERACIONAL'!$F$6:$F$16</c:f>
              <c:numCache>
                <c:formatCode>#,##0</c:formatCode>
                <c:ptCount val="11"/>
                <c:pt idx="0">
                  <c:v>1245</c:v>
                </c:pt>
                <c:pt idx="1">
                  <c:v>3820</c:v>
                </c:pt>
                <c:pt idx="2">
                  <c:v>4560</c:v>
                </c:pt>
                <c:pt idx="3">
                  <c:v>6120</c:v>
                </c:pt>
                <c:pt idx="4">
                  <c:v>7890</c:v>
                </c:pt>
                <c:pt idx="5">
                  <c:v>8450</c:v>
                </c:pt>
                <c:pt idx="6">
                  <c:v>8100</c:v>
                </c:pt>
                <c:pt idx="7">
                  <c:v>7820</c:v>
                </c:pt>
                <c:pt idx="8">
                  <c:v>6150</c:v>
                </c:pt>
                <c:pt idx="9">
                  <c:v>4520</c:v>
                </c:pt>
                <c:pt idx="10">
                  <c:v>2549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003-441B-AFFF-878A9D107CC5}"/>
            </c:ext>
          </c:extLst>
        </c:ser>
        <c:ser>
          <c:idx val="1"/>
          <c:order val="1"/>
          <c:tx>
            <c:strRef>
              <c:f>'02_OPERACIONAL'!$G$5</c:f>
              <c:strCache>
                <c:ptCount val="1"/>
                <c:pt idx="0">
                  <c:v>Alô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86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3">
                  <a:shade val="86000"/>
                </a:schemeClr>
              </a:solidFill>
              <a:ln w="9525" cap="flat" cmpd="sng" algn="ctr">
                <a:solidFill>
                  <a:schemeClr val="accent3">
                    <a:shade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'02_OPERACIONAL'!$E$6:$E$16</c:f>
              <c:strCache>
                <c:ptCount val="11"/>
                <c:pt idx="0">
                  <c:v>08h</c:v>
                </c:pt>
                <c:pt idx="1">
                  <c:v>09h</c:v>
                </c:pt>
                <c:pt idx="2">
                  <c:v>10h</c:v>
                </c:pt>
                <c:pt idx="3">
                  <c:v>11h</c:v>
                </c:pt>
                <c:pt idx="4">
                  <c:v>12h</c:v>
                </c:pt>
                <c:pt idx="5">
                  <c:v>13h</c:v>
                </c:pt>
                <c:pt idx="6">
                  <c:v>14h</c:v>
                </c:pt>
                <c:pt idx="7">
                  <c:v>15h</c:v>
                </c:pt>
                <c:pt idx="8">
                  <c:v>16h</c:v>
                </c:pt>
                <c:pt idx="9">
                  <c:v>17h</c:v>
                </c:pt>
                <c:pt idx="10">
                  <c:v>18h</c:v>
                </c:pt>
              </c:strCache>
            </c:strRef>
          </c:cat>
          <c:val>
            <c:numRef>
              <c:f>'02_OPERACIONAL'!$G$6:$G$16</c:f>
              <c:numCache>
                <c:formatCode>#,##0</c:formatCode>
                <c:ptCount val="11"/>
                <c:pt idx="0">
                  <c:v>182</c:v>
                </c:pt>
                <c:pt idx="1">
                  <c:v>612</c:v>
                </c:pt>
                <c:pt idx="2">
                  <c:v>812</c:v>
                </c:pt>
                <c:pt idx="3">
                  <c:v>1150</c:v>
                </c:pt>
                <c:pt idx="4">
                  <c:v>1520</c:v>
                </c:pt>
                <c:pt idx="5">
                  <c:v>1630</c:v>
                </c:pt>
                <c:pt idx="6">
                  <c:v>1520</c:v>
                </c:pt>
                <c:pt idx="7">
                  <c:v>1420</c:v>
                </c:pt>
                <c:pt idx="8">
                  <c:v>1080</c:v>
                </c:pt>
                <c:pt idx="9">
                  <c:v>760</c:v>
                </c:pt>
                <c:pt idx="10">
                  <c:v>494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003-441B-AFFF-878A9D107CC5}"/>
            </c:ext>
          </c:extLst>
        </c:ser>
        <c:ser>
          <c:idx val="2"/>
          <c:order val="2"/>
          <c:tx>
            <c:strRef>
              <c:f>'02_OPERACIONAL'!$H$5</c:f>
              <c:strCache>
                <c:ptCount val="1"/>
                <c:pt idx="0">
                  <c:v>CPC</c:v>
                </c:pt>
              </c:strCache>
            </c:strRef>
          </c:tx>
          <c:spPr>
            <a:ln w="28575" cap="rnd" cmpd="sng" algn="ctr">
              <a:solidFill>
                <a:schemeClr val="accent3">
                  <a:tint val="86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3">
                  <a:tint val="86000"/>
                </a:schemeClr>
              </a:solidFill>
              <a:ln w="9525" cap="flat" cmpd="sng" algn="ctr">
                <a:solidFill>
                  <a:schemeClr val="accent3">
                    <a:tint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'02_OPERACIONAL'!$E$6:$E$16</c:f>
              <c:strCache>
                <c:ptCount val="11"/>
                <c:pt idx="0">
                  <c:v>08h</c:v>
                </c:pt>
                <c:pt idx="1">
                  <c:v>09h</c:v>
                </c:pt>
                <c:pt idx="2">
                  <c:v>10h</c:v>
                </c:pt>
                <c:pt idx="3">
                  <c:v>11h</c:v>
                </c:pt>
                <c:pt idx="4">
                  <c:v>12h</c:v>
                </c:pt>
                <c:pt idx="5">
                  <c:v>13h</c:v>
                </c:pt>
                <c:pt idx="6">
                  <c:v>14h</c:v>
                </c:pt>
                <c:pt idx="7">
                  <c:v>15h</c:v>
                </c:pt>
                <c:pt idx="8">
                  <c:v>16h</c:v>
                </c:pt>
                <c:pt idx="9">
                  <c:v>17h</c:v>
                </c:pt>
                <c:pt idx="10">
                  <c:v>18h</c:v>
                </c:pt>
              </c:strCache>
            </c:strRef>
          </c:cat>
          <c:val>
            <c:numRef>
              <c:f>'02_OPERACIONAL'!$H$6:$H$16</c:f>
              <c:numCache>
                <c:formatCode>#,##0</c:formatCode>
                <c:ptCount val="11"/>
                <c:pt idx="0">
                  <c:v>42</c:v>
                </c:pt>
                <c:pt idx="1">
                  <c:v>143</c:v>
                </c:pt>
                <c:pt idx="2">
                  <c:v>194</c:v>
                </c:pt>
                <c:pt idx="3">
                  <c:v>276</c:v>
                </c:pt>
                <c:pt idx="4">
                  <c:v>368</c:v>
                </c:pt>
                <c:pt idx="5">
                  <c:v>392</c:v>
                </c:pt>
                <c:pt idx="6">
                  <c:v>360</c:v>
                </c:pt>
                <c:pt idx="7">
                  <c:v>334</c:v>
                </c:pt>
                <c:pt idx="8">
                  <c:v>258</c:v>
                </c:pt>
                <c:pt idx="9">
                  <c:v>174</c:v>
                </c:pt>
                <c:pt idx="10">
                  <c:v>127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003-441B-AFFF-878A9D107CC5}"/>
            </c:ext>
          </c:extLst>
        </c:ser>
        <c:ser>
          <c:idx val="3"/>
          <c:order val="3"/>
          <c:tx>
            <c:strRef>
              <c:f>'02_OPERACIONAL'!$I$5</c:f>
              <c:strCache>
                <c:ptCount val="1"/>
                <c:pt idx="0">
                  <c:v>Acordos</c:v>
                </c:pt>
              </c:strCache>
            </c:strRef>
          </c:tx>
          <c:spPr>
            <a:ln w="28575" cap="rnd" cmpd="sng" algn="ctr">
              <a:solidFill>
                <a:schemeClr val="accent3">
                  <a:tint val="58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noFill/>
              <a:ln w="9525" cap="flat" cmpd="sng" algn="ctr">
                <a:solidFill>
                  <a:schemeClr val="accent3">
                    <a:tint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'02_OPERACIONAL'!$E$6:$E$16</c:f>
              <c:strCache>
                <c:ptCount val="11"/>
                <c:pt idx="0">
                  <c:v>08h</c:v>
                </c:pt>
                <c:pt idx="1">
                  <c:v>09h</c:v>
                </c:pt>
                <c:pt idx="2">
                  <c:v>10h</c:v>
                </c:pt>
                <c:pt idx="3">
                  <c:v>11h</c:v>
                </c:pt>
                <c:pt idx="4">
                  <c:v>12h</c:v>
                </c:pt>
                <c:pt idx="5">
                  <c:v>13h</c:v>
                </c:pt>
                <c:pt idx="6">
                  <c:v>14h</c:v>
                </c:pt>
                <c:pt idx="7">
                  <c:v>15h</c:v>
                </c:pt>
                <c:pt idx="8">
                  <c:v>16h</c:v>
                </c:pt>
                <c:pt idx="9">
                  <c:v>17h</c:v>
                </c:pt>
                <c:pt idx="10">
                  <c:v>18h</c:v>
                </c:pt>
              </c:strCache>
            </c:strRef>
          </c:cat>
          <c:val>
            <c:numRef>
              <c:f>'02_OPERACIONAL'!$I$6:$I$16</c:f>
              <c:numCache>
                <c:formatCode>#,##0</c:formatCode>
                <c:ptCount val="11"/>
                <c:pt idx="0">
                  <c:v>20</c:v>
                </c:pt>
                <c:pt idx="1">
                  <c:v>89</c:v>
                </c:pt>
                <c:pt idx="2">
                  <c:v>121</c:v>
                </c:pt>
                <c:pt idx="3">
                  <c:v>176</c:v>
                </c:pt>
                <c:pt idx="4">
                  <c:v>221</c:v>
                </c:pt>
                <c:pt idx="5">
                  <c:v>245</c:v>
                </c:pt>
                <c:pt idx="6">
                  <c:v>236</c:v>
                </c:pt>
                <c:pt idx="7">
                  <c:v>217</c:v>
                </c:pt>
                <c:pt idx="8">
                  <c:v>170</c:v>
                </c:pt>
                <c:pt idx="9">
                  <c:v>106</c:v>
                </c:pt>
                <c:pt idx="10">
                  <c:v>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C003-441B-AFFF-878A9D107CC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Taxas por Hora</a:t>
            </a:r>
          </a:p>
        </c:rich>
      </c:tx>
      <c:layout>
        <c:manualLayout>
          <c:xMode val="edge"/>
          <c:yMode val="edge"/>
          <c:x val="2.4700041380160666E-2"/>
          <c:y val="4.755042148666376E-2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'02_OPERACIONAL'!$K$5</c:f>
              <c:strCache>
                <c:ptCount val="1"/>
                <c:pt idx="0">
                  <c:v>Hit Rate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58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3">
                  <a:shade val="58000"/>
                </a:schemeClr>
              </a:solidFill>
              <a:ln w="9525" cap="flat" cmpd="sng" algn="ctr">
                <a:solidFill>
                  <a:schemeClr val="accent3">
                    <a:shade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'02_OPERACIONAL'!$E$6:$E$16</c:f>
              <c:strCache>
                <c:ptCount val="11"/>
                <c:pt idx="0">
                  <c:v>08h</c:v>
                </c:pt>
                <c:pt idx="1">
                  <c:v>09h</c:v>
                </c:pt>
                <c:pt idx="2">
                  <c:v>10h</c:v>
                </c:pt>
                <c:pt idx="3">
                  <c:v>11h</c:v>
                </c:pt>
                <c:pt idx="4">
                  <c:v>12h</c:v>
                </c:pt>
                <c:pt idx="5">
                  <c:v>13h</c:v>
                </c:pt>
                <c:pt idx="6">
                  <c:v>14h</c:v>
                </c:pt>
                <c:pt idx="7">
                  <c:v>15h</c:v>
                </c:pt>
                <c:pt idx="8">
                  <c:v>16h</c:v>
                </c:pt>
                <c:pt idx="9">
                  <c:v>17h</c:v>
                </c:pt>
                <c:pt idx="10">
                  <c:v>18h</c:v>
                </c:pt>
              </c:strCache>
            </c:strRef>
          </c:cat>
          <c:val>
            <c:numRef>
              <c:f>'02_OPERACIONAL'!$K$6:$K$16</c:f>
              <c:numCache>
                <c:formatCode>0.00%</c:formatCode>
                <c:ptCount val="11"/>
                <c:pt idx="0">
                  <c:v>0.14618473895582329</c:v>
                </c:pt>
                <c:pt idx="1">
                  <c:v>0.16020942408376965</c:v>
                </c:pt>
                <c:pt idx="2">
                  <c:v>0.17807017543859649</c:v>
                </c:pt>
                <c:pt idx="3">
                  <c:v>0.18790849673202614</c:v>
                </c:pt>
                <c:pt idx="4">
                  <c:v>0.1926489226869455</c:v>
                </c:pt>
                <c:pt idx="5">
                  <c:v>0.19289940828402366</c:v>
                </c:pt>
                <c:pt idx="6">
                  <c:v>0.18765432098765433</c:v>
                </c:pt>
                <c:pt idx="7">
                  <c:v>0.1815856777493606</c:v>
                </c:pt>
                <c:pt idx="8">
                  <c:v>0.17560975609756097</c:v>
                </c:pt>
                <c:pt idx="9">
                  <c:v>0.16814159292035399</c:v>
                </c:pt>
                <c:pt idx="10">
                  <c:v>0.1938014907806983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527-4E36-8599-F6A62A3C6939}"/>
            </c:ext>
          </c:extLst>
        </c:ser>
        <c:ser>
          <c:idx val="1"/>
          <c:order val="1"/>
          <c:tx>
            <c:strRef>
              <c:f>'02_OPERACIONAL'!$L$5</c:f>
              <c:strCache>
                <c:ptCount val="1"/>
                <c:pt idx="0">
                  <c:v>Taxa CPC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86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3">
                  <a:shade val="86000"/>
                </a:schemeClr>
              </a:solidFill>
              <a:ln w="9525" cap="flat" cmpd="sng" algn="ctr">
                <a:solidFill>
                  <a:schemeClr val="accent3">
                    <a:shade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'02_OPERACIONAL'!$E$6:$E$16</c:f>
              <c:strCache>
                <c:ptCount val="11"/>
                <c:pt idx="0">
                  <c:v>08h</c:v>
                </c:pt>
                <c:pt idx="1">
                  <c:v>09h</c:v>
                </c:pt>
                <c:pt idx="2">
                  <c:v>10h</c:v>
                </c:pt>
                <c:pt idx="3">
                  <c:v>11h</c:v>
                </c:pt>
                <c:pt idx="4">
                  <c:v>12h</c:v>
                </c:pt>
                <c:pt idx="5">
                  <c:v>13h</c:v>
                </c:pt>
                <c:pt idx="6">
                  <c:v>14h</c:v>
                </c:pt>
                <c:pt idx="7">
                  <c:v>15h</c:v>
                </c:pt>
                <c:pt idx="8">
                  <c:v>16h</c:v>
                </c:pt>
                <c:pt idx="9">
                  <c:v>17h</c:v>
                </c:pt>
                <c:pt idx="10">
                  <c:v>18h</c:v>
                </c:pt>
              </c:strCache>
            </c:strRef>
          </c:cat>
          <c:val>
            <c:numRef>
              <c:f>'02_OPERACIONAL'!$L$6:$L$16</c:f>
              <c:numCache>
                <c:formatCode>0.00%</c:formatCode>
                <c:ptCount val="11"/>
                <c:pt idx="0">
                  <c:v>0.23076923076923078</c:v>
                </c:pt>
                <c:pt idx="1">
                  <c:v>0.23366013071895425</c:v>
                </c:pt>
                <c:pt idx="2">
                  <c:v>0.23891625615763548</c:v>
                </c:pt>
                <c:pt idx="3">
                  <c:v>0.24</c:v>
                </c:pt>
                <c:pt idx="4">
                  <c:v>0.24210526315789474</c:v>
                </c:pt>
                <c:pt idx="5">
                  <c:v>0.24049079754601227</c:v>
                </c:pt>
                <c:pt idx="6">
                  <c:v>0.23684210526315788</c:v>
                </c:pt>
                <c:pt idx="7">
                  <c:v>0.23521126760563379</c:v>
                </c:pt>
                <c:pt idx="8">
                  <c:v>0.2388888888888889</c:v>
                </c:pt>
                <c:pt idx="9">
                  <c:v>0.22894736842105262</c:v>
                </c:pt>
                <c:pt idx="10">
                  <c:v>0.25708502024291496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527-4E36-8599-F6A62A3C6939}"/>
            </c:ext>
          </c:extLst>
        </c:ser>
        <c:ser>
          <c:idx val="2"/>
          <c:order val="2"/>
          <c:tx>
            <c:strRef>
              <c:f>'02_OPERACIONAL'!$M$5</c:f>
              <c:strCache>
                <c:ptCount val="1"/>
                <c:pt idx="0">
                  <c:v>CPC → Acordo</c:v>
                </c:pt>
              </c:strCache>
            </c:strRef>
          </c:tx>
          <c:spPr>
            <a:ln w="28575" cap="rnd" cmpd="sng" algn="ctr">
              <a:solidFill>
                <a:schemeClr val="accent3">
                  <a:tint val="86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3">
                  <a:tint val="86000"/>
                </a:schemeClr>
              </a:solidFill>
              <a:ln w="9525" cap="flat" cmpd="sng" algn="ctr">
                <a:solidFill>
                  <a:schemeClr val="accent3">
                    <a:tint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'02_OPERACIONAL'!$E$6:$E$16</c:f>
              <c:strCache>
                <c:ptCount val="11"/>
                <c:pt idx="0">
                  <c:v>08h</c:v>
                </c:pt>
                <c:pt idx="1">
                  <c:v>09h</c:v>
                </c:pt>
                <c:pt idx="2">
                  <c:v>10h</c:v>
                </c:pt>
                <c:pt idx="3">
                  <c:v>11h</c:v>
                </c:pt>
                <c:pt idx="4">
                  <c:v>12h</c:v>
                </c:pt>
                <c:pt idx="5">
                  <c:v>13h</c:v>
                </c:pt>
                <c:pt idx="6">
                  <c:v>14h</c:v>
                </c:pt>
                <c:pt idx="7">
                  <c:v>15h</c:v>
                </c:pt>
                <c:pt idx="8">
                  <c:v>16h</c:v>
                </c:pt>
                <c:pt idx="9">
                  <c:v>17h</c:v>
                </c:pt>
                <c:pt idx="10">
                  <c:v>18h</c:v>
                </c:pt>
              </c:strCache>
            </c:strRef>
          </c:cat>
          <c:val>
            <c:numRef>
              <c:f>'02_OPERACIONAL'!$M$6:$M$16</c:f>
              <c:numCache>
                <c:formatCode>0.00%</c:formatCode>
                <c:ptCount val="11"/>
                <c:pt idx="0">
                  <c:v>0.47619047619047616</c:v>
                </c:pt>
                <c:pt idx="1">
                  <c:v>0.6223776223776224</c:v>
                </c:pt>
                <c:pt idx="2">
                  <c:v>0.62371134020618557</c:v>
                </c:pt>
                <c:pt idx="3">
                  <c:v>0.6376811594202898</c:v>
                </c:pt>
                <c:pt idx="4">
                  <c:v>0.60054347826086951</c:v>
                </c:pt>
                <c:pt idx="5">
                  <c:v>0.625</c:v>
                </c:pt>
                <c:pt idx="6">
                  <c:v>0.65555555555555556</c:v>
                </c:pt>
                <c:pt idx="7">
                  <c:v>0.64970059880239517</c:v>
                </c:pt>
                <c:pt idx="8">
                  <c:v>0.65891472868217049</c:v>
                </c:pt>
                <c:pt idx="9">
                  <c:v>0.60919540229885061</c:v>
                </c:pt>
                <c:pt idx="10">
                  <c:v>0.53543307086614178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527-4E36-8599-F6A62A3C6939}"/>
            </c:ext>
          </c:extLst>
        </c:ser>
        <c:ser>
          <c:idx val="3"/>
          <c:order val="3"/>
          <c:tx>
            <c:strRef>
              <c:f>'02_OPERACIONAL'!$N$5</c:f>
              <c:strCache>
                <c:ptCount val="1"/>
                <c:pt idx="0">
                  <c:v>Acordo → Pago</c:v>
                </c:pt>
              </c:strCache>
            </c:strRef>
          </c:tx>
          <c:spPr>
            <a:ln w="28575" cap="rnd" cmpd="sng" algn="ctr">
              <a:solidFill>
                <a:schemeClr val="accent3">
                  <a:tint val="58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noFill/>
              <a:ln w="9525" cap="flat" cmpd="sng" algn="ctr">
                <a:solidFill>
                  <a:schemeClr val="accent3">
                    <a:tint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'02_OPERACIONAL'!$E$6:$E$16</c:f>
              <c:strCache>
                <c:ptCount val="11"/>
                <c:pt idx="0">
                  <c:v>08h</c:v>
                </c:pt>
                <c:pt idx="1">
                  <c:v>09h</c:v>
                </c:pt>
                <c:pt idx="2">
                  <c:v>10h</c:v>
                </c:pt>
                <c:pt idx="3">
                  <c:v>11h</c:v>
                </c:pt>
                <c:pt idx="4">
                  <c:v>12h</c:v>
                </c:pt>
                <c:pt idx="5">
                  <c:v>13h</c:v>
                </c:pt>
                <c:pt idx="6">
                  <c:v>14h</c:v>
                </c:pt>
                <c:pt idx="7">
                  <c:v>15h</c:v>
                </c:pt>
                <c:pt idx="8">
                  <c:v>16h</c:v>
                </c:pt>
                <c:pt idx="9">
                  <c:v>17h</c:v>
                </c:pt>
                <c:pt idx="10">
                  <c:v>18h</c:v>
                </c:pt>
              </c:strCache>
            </c:strRef>
          </c:cat>
          <c:val>
            <c:numRef>
              <c:f>'02_OPERACIONAL'!$N$6:$N$16</c:f>
              <c:numCache>
                <c:formatCode>0.00%</c:formatCode>
                <c:ptCount val="11"/>
                <c:pt idx="0">
                  <c:v>0.15</c:v>
                </c:pt>
                <c:pt idx="1">
                  <c:v>0.1348314606741573</c:v>
                </c:pt>
                <c:pt idx="2">
                  <c:v>0.14049586776859505</c:v>
                </c:pt>
                <c:pt idx="3">
                  <c:v>0.13636363636363635</c:v>
                </c:pt>
                <c:pt idx="4">
                  <c:v>0.12217194570135746</c:v>
                </c:pt>
                <c:pt idx="5">
                  <c:v>0.12653061224489795</c:v>
                </c:pt>
                <c:pt idx="6">
                  <c:v>0.11864406779661017</c:v>
                </c:pt>
                <c:pt idx="7">
                  <c:v>0.10599078341013825</c:v>
                </c:pt>
                <c:pt idx="8">
                  <c:v>0.11176470588235295</c:v>
                </c:pt>
                <c:pt idx="9">
                  <c:v>9.4339622641509441E-2</c:v>
                </c:pt>
                <c:pt idx="10">
                  <c:v>2.9411764705882353E-2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527-4E36-8599-F6A62A3C693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chart" Target="../charts/chart5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1.jfif"/><Relationship Id="rId6" Type="http://schemas.openxmlformats.org/officeDocument/2006/relationships/image" Target="../media/image6.png"/><Relationship Id="rId11" Type="http://schemas.openxmlformats.org/officeDocument/2006/relationships/chart" Target="../charts/chart3.xml"/><Relationship Id="rId5" Type="http://schemas.openxmlformats.org/officeDocument/2006/relationships/image" Target="../media/image5.png"/><Relationship Id="rId10" Type="http://schemas.openxmlformats.org/officeDocument/2006/relationships/chart" Target="../charts/chart2.xml"/><Relationship Id="rId4" Type="http://schemas.openxmlformats.org/officeDocument/2006/relationships/image" Target="../media/image4.png"/><Relationship Id="rId9" Type="http://schemas.openxmlformats.org/officeDocument/2006/relationships/chart" Target="../charts/chart1.xml"/><Relationship Id="rId14" Type="http://schemas.openxmlformats.org/officeDocument/2006/relationships/chart" Target="../charts/chart6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image" Target="../media/image1.jf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f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f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f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190501</xdr:colOff>
      <xdr:row>0</xdr:row>
      <xdr:rowOff>234947</xdr:rowOff>
    </xdr:from>
    <xdr:to>
      <xdr:col>2</xdr:col>
      <xdr:colOff>406400</xdr:colOff>
      <xdr:row>3</xdr:row>
      <xdr:rowOff>203029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7E45F06-9FE8-09F1-F15A-C4AFA439A1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696" b="23396"/>
        <a:stretch>
          <a:fillRect/>
        </a:stretch>
      </xdr:blipFill>
      <xdr:spPr>
        <a:xfrm>
          <a:off x="190501" y="234947"/>
          <a:ext cx="1446741" cy="686690"/>
        </a:xfrm>
        <a:prstGeom prst="rect">
          <a:avLst/>
        </a:prstGeom>
      </xdr:spPr>
    </xdr:pic>
    <xdr:clientData/>
  </xdr:twoCellAnchor>
  <xdr:twoCellAnchor>
    <xdr:from>
      <xdr:col>5</xdr:col>
      <xdr:colOff>713442</xdr:colOff>
      <xdr:row>5</xdr:row>
      <xdr:rowOff>124780</xdr:rowOff>
    </xdr:from>
    <xdr:to>
      <xdr:col>7</xdr:col>
      <xdr:colOff>716592</xdr:colOff>
      <xdr:row>10</xdr:row>
      <xdr:rowOff>97705</xdr:rowOff>
    </xdr:to>
    <xdr:grpSp>
      <xdr:nvGrpSpPr>
        <xdr:cNvPr id="72" name="Agrupar 71">
          <a:extLst>
            <a:ext uri="{FF2B5EF4-FFF2-40B4-BE49-F238E27FC236}">
              <a16:creationId xmlns:a16="http://schemas.microsoft.com/office/drawing/2014/main" id="{E8B916AF-54E6-698B-DF5A-3B5E5A129DCD}"/>
            </a:ext>
          </a:extLst>
        </xdr:cNvPr>
        <xdr:cNvGrpSpPr/>
      </xdr:nvGrpSpPr>
      <xdr:grpSpPr>
        <a:xfrm>
          <a:off x="4359930" y="1252699"/>
          <a:ext cx="1758925" cy="952412"/>
          <a:chOff x="4161492" y="1458280"/>
          <a:chExt cx="1773366" cy="932502"/>
        </a:xfrm>
      </xdr:grpSpPr>
      <xdr:grpSp>
        <xdr:nvGrpSpPr>
          <xdr:cNvPr id="26" name="Agrupar 25">
            <a:extLst>
              <a:ext uri="{FF2B5EF4-FFF2-40B4-BE49-F238E27FC236}">
                <a16:creationId xmlns:a16="http://schemas.microsoft.com/office/drawing/2014/main" id="{6159C1AF-C7F5-46EC-AD65-60C58F33B7F4}"/>
              </a:ext>
            </a:extLst>
          </xdr:cNvPr>
          <xdr:cNvGrpSpPr/>
        </xdr:nvGrpSpPr>
        <xdr:grpSpPr>
          <a:xfrm>
            <a:off x="4164667" y="1455105"/>
            <a:ext cx="1767016" cy="935677"/>
            <a:chOff x="2808816" y="2151592"/>
            <a:chExt cx="1734608" cy="955674"/>
          </a:xfrm>
        </xdr:grpSpPr>
        <xdr:sp macro="" textlink="">
          <xdr:nvSpPr>
            <xdr:cNvPr id="27" name="Retângulo: Cantos Arredondados 26">
              <a:extLst>
                <a:ext uri="{FF2B5EF4-FFF2-40B4-BE49-F238E27FC236}">
                  <a16:creationId xmlns:a16="http://schemas.microsoft.com/office/drawing/2014/main" id="{A2AF6763-18DB-76DF-41E0-A612A3BBAABC}"/>
                </a:ext>
              </a:extLst>
            </xdr:cNvPr>
            <xdr:cNvSpPr/>
          </xdr:nvSpPr>
          <xdr:spPr>
            <a:xfrm>
              <a:off x="2808816" y="2151592"/>
              <a:ext cx="1734608" cy="955674"/>
            </a:xfrm>
            <a:prstGeom prst="roundRect">
              <a:avLst/>
            </a:prstGeom>
            <a:solidFill>
              <a:srgbClr val="0A4A48"/>
            </a:solidFill>
            <a:ln>
              <a:noFill/>
            </a:ln>
          </xdr:spPr>
          <xdr:style>
            <a:lnRef idx="2">
              <a:schemeClr val="accent3"/>
            </a:lnRef>
            <a:fillRef idx="1">
              <a:schemeClr val="lt1"/>
            </a:fillRef>
            <a:effectRef idx="0">
              <a:schemeClr val="accent3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8" name="CaixaDeTexto 27">
              <a:extLst>
                <a:ext uri="{FF2B5EF4-FFF2-40B4-BE49-F238E27FC236}">
                  <a16:creationId xmlns:a16="http://schemas.microsoft.com/office/drawing/2014/main" id="{006E7E00-D0BE-35E3-B7C5-7214B3248DDD}"/>
                </a:ext>
              </a:extLst>
            </xdr:cNvPr>
            <xdr:cNvSpPr txBox="1"/>
          </xdr:nvSpPr>
          <xdr:spPr>
            <a:xfrm>
              <a:off x="3104091" y="2254250"/>
              <a:ext cx="1084792" cy="29315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pt-BR" sz="1100" b="1">
                  <a:solidFill>
                    <a:schemeClr val="bg1"/>
                  </a:solidFill>
                </a:rPr>
                <a:t>ALÔ</a:t>
              </a:r>
            </a:p>
          </xdr:txBody>
        </xdr:sp>
        <xdr:sp macro="" textlink="">
          <xdr:nvSpPr>
            <xdr:cNvPr id="29" name="CaixaDeTexto 28">
              <a:extLst>
                <a:ext uri="{FF2B5EF4-FFF2-40B4-BE49-F238E27FC236}">
                  <a16:creationId xmlns:a16="http://schemas.microsoft.com/office/drawing/2014/main" id="{B4BFB602-A516-8E0C-BDD2-3527C65EBF8B}"/>
                </a:ext>
              </a:extLst>
            </xdr:cNvPr>
            <xdr:cNvSpPr txBox="1"/>
          </xdr:nvSpPr>
          <xdr:spPr>
            <a:xfrm>
              <a:off x="2969910" y="2533615"/>
              <a:ext cx="1398059" cy="4233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r"/>
              <a:r>
                <a:rPr lang="pt-BR" sz="2200" b="1">
                  <a:solidFill>
                    <a:schemeClr val="bg1"/>
                  </a:solidFill>
                </a:rPr>
                <a:t>50.600</a:t>
              </a:r>
            </a:p>
          </xdr:txBody>
        </xdr:sp>
      </xdr:grpSp>
      <xdr:pic>
        <xdr:nvPicPr>
          <xdr:cNvPr id="48" name="Imagem 47">
            <a:extLst>
              <a:ext uri="{FF2B5EF4-FFF2-40B4-BE49-F238E27FC236}">
                <a16:creationId xmlns:a16="http://schemas.microsoft.com/office/drawing/2014/main" id="{F05070E7-E843-C3B6-DF39-60E114A028A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258328" y="1752234"/>
            <a:ext cx="362052" cy="363972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171449</xdr:colOff>
      <xdr:row>5</xdr:row>
      <xdr:rowOff>133308</xdr:rowOff>
    </xdr:from>
    <xdr:to>
      <xdr:col>5</xdr:col>
      <xdr:colOff>331936</xdr:colOff>
      <xdr:row>10</xdr:row>
      <xdr:rowOff>103701</xdr:rowOff>
    </xdr:to>
    <xdr:grpSp>
      <xdr:nvGrpSpPr>
        <xdr:cNvPr id="73" name="Agrupar 72">
          <a:extLst>
            <a:ext uri="{FF2B5EF4-FFF2-40B4-BE49-F238E27FC236}">
              <a16:creationId xmlns:a16="http://schemas.microsoft.com/office/drawing/2014/main" id="{370C2BB5-1379-0874-7AAD-F5A0A7DA5890}"/>
            </a:ext>
          </a:extLst>
        </xdr:cNvPr>
        <xdr:cNvGrpSpPr/>
      </xdr:nvGrpSpPr>
      <xdr:grpSpPr>
        <a:xfrm>
          <a:off x="2207418" y="1264402"/>
          <a:ext cx="1771006" cy="949880"/>
          <a:chOff x="2219324" y="1447758"/>
          <a:chExt cx="1770212" cy="951468"/>
        </a:xfrm>
      </xdr:grpSpPr>
      <xdr:grpSp>
        <xdr:nvGrpSpPr>
          <xdr:cNvPr id="9" name="Agrupar 8">
            <a:extLst>
              <a:ext uri="{FF2B5EF4-FFF2-40B4-BE49-F238E27FC236}">
                <a16:creationId xmlns:a16="http://schemas.microsoft.com/office/drawing/2014/main" id="{17F723C1-A921-66F6-4ED0-4441609510F9}"/>
              </a:ext>
            </a:extLst>
          </xdr:cNvPr>
          <xdr:cNvGrpSpPr/>
        </xdr:nvGrpSpPr>
        <xdr:grpSpPr>
          <a:xfrm>
            <a:off x="2219324" y="1447758"/>
            <a:ext cx="1773387" cy="954643"/>
            <a:chOff x="2808816" y="2151592"/>
            <a:chExt cx="1734608" cy="955674"/>
          </a:xfrm>
        </xdr:grpSpPr>
        <xdr:sp macro="" textlink="">
          <xdr:nvSpPr>
            <xdr:cNvPr id="6" name="Retângulo: Cantos Arredondados 5">
              <a:extLst>
                <a:ext uri="{FF2B5EF4-FFF2-40B4-BE49-F238E27FC236}">
                  <a16:creationId xmlns:a16="http://schemas.microsoft.com/office/drawing/2014/main" id="{72F74620-F60D-4EFE-8082-B9CD59ADA7BE}"/>
                </a:ext>
              </a:extLst>
            </xdr:cNvPr>
            <xdr:cNvSpPr/>
          </xdr:nvSpPr>
          <xdr:spPr>
            <a:xfrm>
              <a:off x="2808816" y="2151592"/>
              <a:ext cx="1734608" cy="955674"/>
            </a:xfrm>
            <a:prstGeom prst="roundRect">
              <a:avLst/>
            </a:prstGeom>
            <a:solidFill>
              <a:schemeClr val="bg1"/>
            </a:solidFill>
            <a:ln>
              <a:solidFill>
                <a:srgbClr val="04503F"/>
              </a:solidFill>
            </a:ln>
          </xdr:spPr>
          <xdr:style>
            <a:lnRef idx="2">
              <a:schemeClr val="accent3"/>
            </a:lnRef>
            <a:fillRef idx="1">
              <a:schemeClr val="lt1"/>
            </a:fillRef>
            <a:effectRef idx="0">
              <a:schemeClr val="accent3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7" name="CaixaDeTexto 6">
              <a:extLst>
                <a:ext uri="{FF2B5EF4-FFF2-40B4-BE49-F238E27FC236}">
                  <a16:creationId xmlns:a16="http://schemas.microsoft.com/office/drawing/2014/main" id="{EDCFB4BF-B4DB-D3A8-12CB-555FE149208A}"/>
                </a:ext>
              </a:extLst>
            </xdr:cNvPr>
            <xdr:cNvSpPr txBox="1"/>
          </xdr:nvSpPr>
          <xdr:spPr>
            <a:xfrm>
              <a:off x="3104091" y="2254250"/>
              <a:ext cx="1084792" cy="29315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pt-BR" sz="1100" b="1">
                  <a:solidFill>
                    <a:srgbClr val="04503F"/>
                  </a:solidFill>
                </a:rPr>
                <a:t>TENTATIVAS</a:t>
              </a:r>
            </a:p>
          </xdr:txBody>
        </xdr:sp>
        <xdr:sp macro="" textlink="">
          <xdr:nvSpPr>
            <xdr:cNvPr id="8" name="CaixaDeTexto 7">
              <a:extLst>
                <a:ext uri="{FF2B5EF4-FFF2-40B4-BE49-F238E27FC236}">
                  <a16:creationId xmlns:a16="http://schemas.microsoft.com/office/drawing/2014/main" id="{F020B5B3-D514-489F-86FE-A4F2122B9360}"/>
                </a:ext>
              </a:extLst>
            </xdr:cNvPr>
            <xdr:cNvSpPr txBox="1"/>
          </xdr:nvSpPr>
          <xdr:spPr>
            <a:xfrm>
              <a:off x="2969910" y="2533615"/>
              <a:ext cx="1398059" cy="4233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r"/>
              <a:r>
                <a:rPr lang="pt-BR" sz="2200" b="1">
                  <a:solidFill>
                    <a:srgbClr val="04503F"/>
                  </a:solidFill>
                </a:rPr>
                <a:t>296.206</a:t>
              </a:r>
            </a:p>
          </xdr:txBody>
        </xdr:sp>
      </xdr:grpSp>
      <xdr:pic>
        <xdr:nvPicPr>
          <xdr:cNvPr id="50" name="Imagem 49">
            <a:extLst>
              <a:ext uri="{FF2B5EF4-FFF2-40B4-BE49-F238E27FC236}">
                <a16:creationId xmlns:a16="http://schemas.microsoft.com/office/drawing/2014/main" id="{FC1B8445-1905-BAD1-5A1F-668495267D8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42736" y="1784048"/>
            <a:ext cx="359826" cy="357615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154734</xdr:colOff>
      <xdr:row>5</xdr:row>
      <xdr:rowOff>131172</xdr:rowOff>
    </xdr:from>
    <xdr:to>
      <xdr:col>11</xdr:col>
      <xdr:colOff>105630</xdr:colOff>
      <xdr:row>10</xdr:row>
      <xdr:rowOff>85718</xdr:rowOff>
    </xdr:to>
    <xdr:grpSp>
      <xdr:nvGrpSpPr>
        <xdr:cNvPr id="71" name="Agrupar 70">
          <a:extLst>
            <a:ext uri="{FF2B5EF4-FFF2-40B4-BE49-F238E27FC236}">
              <a16:creationId xmlns:a16="http://schemas.microsoft.com/office/drawing/2014/main" id="{A15AFE95-3F7F-6D5D-621B-A90391E39418}"/>
            </a:ext>
          </a:extLst>
        </xdr:cNvPr>
        <xdr:cNvGrpSpPr/>
      </xdr:nvGrpSpPr>
      <xdr:grpSpPr>
        <a:xfrm>
          <a:off x="6441234" y="1262266"/>
          <a:ext cx="1769377" cy="934033"/>
          <a:chOff x="6104684" y="1455147"/>
          <a:chExt cx="1779696" cy="938796"/>
        </a:xfrm>
      </xdr:grpSpPr>
      <xdr:grpSp>
        <xdr:nvGrpSpPr>
          <xdr:cNvPr id="30" name="Agrupar 29">
            <a:extLst>
              <a:ext uri="{FF2B5EF4-FFF2-40B4-BE49-F238E27FC236}">
                <a16:creationId xmlns:a16="http://schemas.microsoft.com/office/drawing/2014/main" id="{044E3672-C831-45F8-B9F5-D7995B8F6DC5}"/>
              </a:ext>
            </a:extLst>
          </xdr:cNvPr>
          <xdr:cNvGrpSpPr/>
        </xdr:nvGrpSpPr>
        <xdr:grpSpPr>
          <a:xfrm>
            <a:off x="6107859" y="1458322"/>
            <a:ext cx="1779696" cy="935621"/>
            <a:chOff x="2808816" y="2151592"/>
            <a:chExt cx="1734608" cy="955674"/>
          </a:xfrm>
        </xdr:grpSpPr>
        <xdr:sp macro="" textlink="">
          <xdr:nvSpPr>
            <xdr:cNvPr id="31" name="Retângulo: Cantos Arredondados 30">
              <a:extLst>
                <a:ext uri="{FF2B5EF4-FFF2-40B4-BE49-F238E27FC236}">
                  <a16:creationId xmlns:a16="http://schemas.microsoft.com/office/drawing/2014/main" id="{4E6E151A-2C74-2147-31D2-E6E31BCA895C}"/>
                </a:ext>
              </a:extLst>
            </xdr:cNvPr>
            <xdr:cNvSpPr/>
          </xdr:nvSpPr>
          <xdr:spPr>
            <a:xfrm>
              <a:off x="2808816" y="2151592"/>
              <a:ext cx="1734608" cy="955674"/>
            </a:xfrm>
            <a:prstGeom prst="roundRect">
              <a:avLst/>
            </a:prstGeom>
            <a:solidFill>
              <a:schemeClr val="bg1"/>
            </a:solidFill>
            <a:ln>
              <a:solidFill>
                <a:srgbClr val="04503F"/>
              </a:solidFill>
            </a:ln>
          </xdr:spPr>
          <xdr:style>
            <a:lnRef idx="2">
              <a:schemeClr val="accent3"/>
            </a:lnRef>
            <a:fillRef idx="1">
              <a:schemeClr val="lt1"/>
            </a:fillRef>
            <a:effectRef idx="0">
              <a:schemeClr val="accent3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pt-BR" sz="1100">
                <a:solidFill>
                  <a:schemeClr val="dk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32" name="CaixaDeTexto 31">
              <a:extLst>
                <a:ext uri="{FF2B5EF4-FFF2-40B4-BE49-F238E27FC236}">
                  <a16:creationId xmlns:a16="http://schemas.microsoft.com/office/drawing/2014/main" id="{4F6455E0-5F56-8062-09C1-26DDBA44A381}"/>
                </a:ext>
              </a:extLst>
            </xdr:cNvPr>
            <xdr:cNvSpPr txBox="1"/>
          </xdr:nvSpPr>
          <xdr:spPr>
            <a:xfrm>
              <a:off x="3104091" y="2254250"/>
              <a:ext cx="1084792" cy="29315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pt-BR" sz="1100" b="1">
                  <a:solidFill>
                    <a:srgbClr val="04503F"/>
                  </a:solidFill>
                </a:rPr>
                <a:t>CPC</a:t>
              </a:r>
            </a:p>
          </xdr:txBody>
        </xdr:sp>
        <xdr:sp macro="" textlink="">
          <xdr:nvSpPr>
            <xdr:cNvPr id="33" name="CaixaDeTexto 32">
              <a:extLst>
                <a:ext uri="{FF2B5EF4-FFF2-40B4-BE49-F238E27FC236}">
                  <a16:creationId xmlns:a16="http://schemas.microsoft.com/office/drawing/2014/main" id="{11DD83B6-DCF8-B398-F31F-08B9F7650D31}"/>
                </a:ext>
              </a:extLst>
            </xdr:cNvPr>
            <xdr:cNvSpPr txBox="1"/>
          </xdr:nvSpPr>
          <xdr:spPr>
            <a:xfrm>
              <a:off x="2969910" y="2533615"/>
              <a:ext cx="1398059" cy="4233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r"/>
              <a:r>
                <a:rPr lang="pt-BR" sz="2200" b="1">
                  <a:solidFill>
                    <a:srgbClr val="04503F"/>
                  </a:solidFill>
                </a:rPr>
                <a:t>12.100</a:t>
              </a:r>
            </a:p>
          </xdr:txBody>
        </xdr:sp>
      </xdr:grpSp>
      <xdr:pic>
        <xdr:nvPicPr>
          <xdr:cNvPr id="52" name="Imagem 51">
            <a:extLst>
              <a:ext uri="{FF2B5EF4-FFF2-40B4-BE49-F238E27FC236}">
                <a16:creationId xmlns:a16="http://schemas.microsoft.com/office/drawing/2014/main" id="{0D6678B3-76D8-A7E0-D04D-AE3A857E5ED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37313" y="1826481"/>
            <a:ext cx="355098" cy="357622"/>
          </a:xfrm>
          <a:prstGeom prst="rect">
            <a:avLst/>
          </a:prstGeom>
        </xdr:spPr>
      </xdr:pic>
    </xdr:grpSp>
    <xdr:clientData/>
  </xdr:twoCellAnchor>
  <xdr:twoCellAnchor>
    <xdr:from>
      <xdr:col>11</xdr:col>
      <xdr:colOff>446824</xdr:colOff>
      <xdr:row>5</xdr:row>
      <xdr:rowOff>139700</xdr:rowOff>
    </xdr:from>
    <xdr:to>
      <xdr:col>14</xdr:col>
      <xdr:colOff>391411</xdr:colOff>
      <xdr:row>10</xdr:row>
      <xdr:rowOff>106918</xdr:rowOff>
    </xdr:to>
    <xdr:grpSp>
      <xdr:nvGrpSpPr>
        <xdr:cNvPr id="70" name="Agrupar 69">
          <a:extLst>
            <a:ext uri="{FF2B5EF4-FFF2-40B4-BE49-F238E27FC236}">
              <a16:creationId xmlns:a16="http://schemas.microsoft.com/office/drawing/2014/main" id="{5809DF85-BAB7-3B89-7B24-05975D4C0986}"/>
            </a:ext>
          </a:extLst>
        </xdr:cNvPr>
        <xdr:cNvGrpSpPr/>
      </xdr:nvGrpSpPr>
      <xdr:grpSpPr>
        <a:xfrm>
          <a:off x="8558155" y="1273969"/>
          <a:ext cx="1759894" cy="937180"/>
          <a:chOff x="8089049" y="1435100"/>
          <a:chExt cx="1767037" cy="948293"/>
        </a:xfrm>
      </xdr:grpSpPr>
      <xdr:grpSp>
        <xdr:nvGrpSpPr>
          <xdr:cNvPr id="34" name="Agrupar 33">
            <a:extLst>
              <a:ext uri="{FF2B5EF4-FFF2-40B4-BE49-F238E27FC236}">
                <a16:creationId xmlns:a16="http://schemas.microsoft.com/office/drawing/2014/main" id="{CF91E5EC-0A40-4B25-AF30-758C5C846FC0}"/>
              </a:ext>
            </a:extLst>
          </xdr:cNvPr>
          <xdr:cNvGrpSpPr/>
        </xdr:nvGrpSpPr>
        <xdr:grpSpPr>
          <a:xfrm>
            <a:off x="8089049" y="1438275"/>
            <a:ext cx="1767037" cy="941943"/>
            <a:chOff x="2808816" y="2151592"/>
            <a:chExt cx="1734608" cy="955674"/>
          </a:xfrm>
        </xdr:grpSpPr>
        <xdr:sp macro="" textlink="">
          <xdr:nvSpPr>
            <xdr:cNvPr id="35" name="Retângulo: Cantos Arredondados 34">
              <a:extLst>
                <a:ext uri="{FF2B5EF4-FFF2-40B4-BE49-F238E27FC236}">
                  <a16:creationId xmlns:a16="http://schemas.microsoft.com/office/drawing/2014/main" id="{E2E6255F-E815-0731-A4E5-7C5E46FCC8B4}"/>
                </a:ext>
              </a:extLst>
            </xdr:cNvPr>
            <xdr:cNvSpPr/>
          </xdr:nvSpPr>
          <xdr:spPr>
            <a:xfrm>
              <a:off x="2808816" y="2151592"/>
              <a:ext cx="1734608" cy="955674"/>
            </a:xfrm>
            <a:prstGeom prst="roundRect">
              <a:avLst/>
            </a:prstGeom>
            <a:solidFill>
              <a:schemeClr val="bg1"/>
            </a:solidFill>
            <a:ln>
              <a:solidFill>
                <a:srgbClr val="04503F"/>
              </a:solidFill>
            </a:ln>
          </xdr:spPr>
          <xdr:style>
            <a:lnRef idx="2">
              <a:schemeClr val="accent3"/>
            </a:lnRef>
            <a:fillRef idx="1">
              <a:schemeClr val="lt1"/>
            </a:fillRef>
            <a:effectRef idx="0">
              <a:schemeClr val="accent3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pt-BR" sz="1100">
                <a:solidFill>
                  <a:schemeClr val="dk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36" name="CaixaDeTexto 35">
              <a:extLst>
                <a:ext uri="{FF2B5EF4-FFF2-40B4-BE49-F238E27FC236}">
                  <a16:creationId xmlns:a16="http://schemas.microsoft.com/office/drawing/2014/main" id="{F51772AF-0EEF-45B3-3C13-B1D2C07DDA78}"/>
                </a:ext>
              </a:extLst>
            </xdr:cNvPr>
            <xdr:cNvSpPr txBox="1"/>
          </xdr:nvSpPr>
          <xdr:spPr>
            <a:xfrm>
              <a:off x="3104091" y="2254250"/>
              <a:ext cx="1084792" cy="29315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pt-BR" sz="1100" b="1">
                  <a:solidFill>
                    <a:srgbClr val="04503F"/>
                  </a:solidFill>
                </a:rPr>
                <a:t>ACORDOS</a:t>
              </a:r>
            </a:p>
          </xdr:txBody>
        </xdr:sp>
        <xdr:sp macro="" textlink="">
          <xdr:nvSpPr>
            <xdr:cNvPr id="37" name="CaixaDeTexto 36">
              <a:extLst>
                <a:ext uri="{FF2B5EF4-FFF2-40B4-BE49-F238E27FC236}">
                  <a16:creationId xmlns:a16="http://schemas.microsoft.com/office/drawing/2014/main" id="{046073A2-9E0D-E898-7683-47758B8983BD}"/>
                </a:ext>
              </a:extLst>
            </xdr:cNvPr>
            <xdr:cNvSpPr txBox="1"/>
          </xdr:nvSpPr>
          <xdr:spPr>
            <a:xfrm>
              <a:off x="2969910" y="2533615"/>
              <a:ext cx="1398059" cy="4233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r"/>
              <a:r>
                <a:rPr lang="pt-BR" sz="2200" b="1">
                  <a:solidFill>
                    <a:srgbClr val="04503F"/>
                  </a:solidFill>
                </a:rPr>
                <a:t>7.900</a:t>
              </a:r>
            </a:p>
          </xdr:txBody>
        </xdr:sp>
      </xdr:grpSp>
      <xdr:pic>
        <xdr:nvPicPr>
          <xdr:cNvPr id="54" name="Imagem 53">
            <a:extLst>
              <a:ext uri="{FF2B5EF4-FFF2-40B4-BE49-F238E27FC236}">
                <a16:creationId xmlns:a16="http://schemas.microsoft.com/office/drawing/2014/main" id="{22E4E492-CA69-7E96-DC3F-9A5BEE723F1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208642" y="1820887"/>
            <a:ext cx="383025" cy="400059"/>
          </a:xfrm>
          <a:prstGeom prst="rect">
            <a:avLst/>
          </a:prstGeom>
        </xdr:spPr>
      </xdr:pic>
    </xdr:grpSp>
    <xdr:clientData/>
  </xdr:twoCellAnchor>
  <xdr:twoCellAnchor>
    <xdr:from>
      <xdr:col>18</xdr:col>
      <xdr:colOff>487238</xdr:colOff>
      <xdr:row>5</xdr:row>
      <xdr:rowOff>140739</xdr:rowOff>
    </xdr:from>
    <xdr:to>
      <xdr:col>21</xdr:col>
      <xdr:colOff>425454</xdr:colOff>
      <xdr:row>10</xdr:row>
      <xdr:rowOff>101635</xdr:rowOff>
    </xdr:to>
    <xdr:grpSp>
      <xdr:nvGrpSpPr>
        <xdr:cNvPr id="68" name="Agrupar 67">
          <a:extLst>
            <a:ext uri="{FF2B5EF4-FFF2-40B4-BE49-F238E27FC236}">
              <a16:creationId xmlns:a16="http://schemas.microsoft.com/office/drawing/2014/main" id="{C0762A22-15C2-6B88-FC5C-28D2A47B4EAE}"/>
            </a:ext>
          </a:extLst>
        </xdr:cNvPr>
        <xdr:cNvGrpSpPr/>
      </xdr:nvGrpSpPr>
      <xdr:grpSpPr>
        <a:xfrm>
          <a:off x="12842751" y="1275008"/>
          <a:ext cx="1766222" cy="937208"/>
          <a:chOff x="11983913" y="1436139"/>
          <a:chExt cx="1767016" cy="941971"/>
        </a:xfrm>
      </xdr:grpSpPr>
      <xdr:grpSp>
        <xdr:nvGrpSpPr>
          <xdr:cNvPr id="42" name="Agrupar 41">
            <a:extLst>
              <a:ext uri="{FF2B5EF4-FFF2-40B4-BE49-F238E27FC236}">
                <a16:creationId xmlns:a16="http://schemas.microsoft.com/office/drawing/2014/main" id="{AD206AAE-C734-4DEB-8C07-80B21C8277C2}"/>
              </a:ext>
            </a:extLst>
          </xdr:cNvPr>
          <xdr:cNvGrpSpPr/>
        </xdr:nvGrpSpPr>
        <xdr:grpSpPr>
          <a:xfrm>
            <a:off x="11980738" y="1439314"/>
            <a:ext cx="1773366" cy="941971"/>
            <a:chOff x="2808816" y="2151592"/>
            <a:chExt cx="1734608" cy="955674"/>
          </a:xfrm>
        </xdr:grpSpPr>
        <xdr:sp macro="" textlink="">
          <xdr:nvSpPr>
            <xdr:cNvPr id="43" name="Retângulo: Cantos Arredondados 42">
              <a:extLst>
                <a:ext uri="{FF2B5EF4-FFF2-40B4-BE49-F238E27FC236}">
                  <a16:creationId xmlns:a16="http://schemas.microsoft.com/office/drawing/2014/main" id="{FFADB0CA-528D-B073-5FD8-CFCD752AE897}"/>
                </a:ext>
              </a:extLst>
            </xdr:cNvPr>
            <xdr:cNvSpPr/>
          </xdr:nvSpPr>
          <xdr:spPr>
            <a:xfrm>
              <a:off x="2808816" y="2151592"/>
              <a:ext cx="1734608" cy="955674"/>
            </a:xfrm>
            <a:prstGeom prst="roundRect">
              <a:avLst/>
            </a:prstGeom>
            <a:solidFill>
              <a:schemeClr val="bg1"/>
            </a:solidFill>
            <a:ln>
              <a:solidFill>
                <a:srgbClr val="04503F"/>
              </a:solidFill>
            </a:ln>
          </xdr:spPr>
          <xdr:style>
            <a:lnRef idx="2">
              <a:schemeClr val="accent3"/>
            </a:lnRef>
            <a:fillRef idx="1">
              <a:schemeClr val="lt1"/>
            </a:fillRef>
            <a:effectRef idx="0">
              <a:schemeClr val="accent3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pt-BR" sz="1100">
                <a:solidFill>
                  <a:schemeClr val="dk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44" name="CaixaDeTexto 43">
              <a:extLst>
                <a:ext uri="{FF2B5EF4-FFF2-40B4-BE49-F238E27FC236}">
                  <a16:creationId xmlns:a16="http://schemas.microsoft.com/office/drawing/2014/main" id="{BE4180BD-14AD-F657-4670-271E18E03FD0}"/>
                </a:ext>
              </a:extLst>
            </xdr:cNvPr>
            <xdr:cNvSpPr txBox="1"/>
          </xdr:nvSpPr>
          <xdr:spPr>
            <a:xfrm>
              <a:off x="3104091" y="2254250"/>
              <a:ext cx="1084792" cy="29315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pt-BR" sz="1100" b="1">
                  <a:solidFill>
                    <a:srgbClr val="04503F"/>
                  </a:solidFill>
                </a:rPr>
                <a:t>HIT RATE</a:t>
              </a:r>
            </a:p>
          </xdr:txBody>
        </xdr:sp>
        <xdr:sp macro="" textlink="">
          <xdr:nvSpPr>
            <xdr:cNvPr id="45" name="CaixaDeTexto 44">
              <a:extLst>
                <a:ext uri="{FF2B5EF4-FFF2-40B4-BE49-F238E27FC236}">
                  <a16:creationId xmlns:a16="http://schemas.microsoft.com/office/drawing/2014/main" id="{5CA32A37-E9E2-D80C-0967-EB52F28EE21B}"/>
                </a:ext>
              </a:extLst>
            </xdr:cNvPr>
            <xdr:cNvSpPr txBox="1"/>
          </xdr:nvSpPr>
          <xdr:spPr>
            <a:xfrm>
              <a:off x="2969910" y="2533615"/>
              <a:ext cx="1398059" cy="4233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r"/>
              <a:r>
                <a:rPr lang="pt-BR" sz="2200" b="1">
                  <a:solidFill>
                    <a:srgbClr val="04503F"/>
                  </a:solidFill>
                </a:rPr>
                <a:t>17,10%</a:t>
              </a:r>
            </a:p>
          </xdr:txBody>
        </xdr:sp>
      </xdr:grpSp>
      <xdr:pic>
        <xdr:nvPicPr>
          <xdr:cNvPr id="56" name="Imagem 55">
            <a:extLst>
              <a:ext uri="{FF2B5EF4-FFF2-40B4-BE49-F238E27FC236}">
                <a16:creationId xmlns:a16="http://schemas.microsoft.com/office/drawing/2014/main" id="{DE92AE13-5189-1F3E-4C88-A64C6B4FA0A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78455" y="1801018"/>
            <a:ext cx="351923" cy="354440"/>
          </a:xfrm>
          <a:prstGeom prst="rect">
            <a:avLst/>
          </a:prstGeom>
        </xdr:spPr>
      </xdr:pic>
    </xdr:grpSp>
    <xdr:clientData/>
  </xdr:twoCellAnchor>
  <xdr:twoCellAnchor>
    <xdr:from>
      <xdr:col>15</xdr:col>
      <xdr:colOff>106167</xdr:colOff>
      <xdr:row>5</xdr:row>
      <xdr:rowOff>140697</xdr:rowOff>
    </xdr:from>
    <xdr:to>
      <xdr:col>18</xdr:col>
      <xdr:colOff>60238</xdr:colOff>
      <xdr:row>10</xdr:row>
      <xdr:rowOff>98418</xdr:rowOff>
    </xdr:to>
    <xdr:grpSp>
      <xdr:nvGrpSpPr>
        <xdr:cNvPr id="69" name="Agrupar 68">
          <a:extLst>
            <a:ext uri="{FF2B5EF4-FFF2-40B4-BE49-F238E27FC236}">
              <a16:creationId xmlns:a16="http://schemas.microsoft.com/office/drawing/2014/main" id="{379CD849-36F8-7FBE-546D-DD63B6D856B1}"/>
            </a:ext>
          </a:extLst>
        </xdr:cNvPr>
        <xdr:cNvGrpSpPr/>
      </xdr:nvGrpSpPr>
      <xdr:grpSpPr>
        <a:xfrm>
          <a:off x="10640023" y="1274966"/>
          <a:ext cx="1778903" cy="930858"/>
          <a:chOff x="10028042" y="1455147"/>
          <a:chExt cx="1782871" cy="938796"/>
        </a:xfrm>
      </xdr:grpSpPr>
      <xdr:grpSp>
        <xdr:nvGrpSpPr>
          <xdr:cNvPr id="38" name="Agrupar 37">
            <a:extLst>
              <a:ext uri="{FF2B5EF4-FFF2-40B4-BE49-F238E27FC236}">
                <a16:creationId xmlns:a16="http://schemas.microsoft.com/office/drawing/2014/main" id="{98CCD9FD-A194-407E-8A70-2A1A13C84ED7}"/>
              </a:ext>
            </a:extLst>
          </xdr:cNvPr>
          <xdr:cNvGrpSpPr/>
        </xdr:nvGrpSpPr>
        <xdr:grpSpPr>
          <a:xfrm>
            <a:off x="10028042" y="1458322"/>
            <a:ext cx="1786046" cy="935621"/>
            <a:chOff x="2808816" y="2151592"/>
            <a:chExt cx="1734608" cy="955674"/>
          </a:xfrm>
        </xdr:grpSpPr>
        <xdr:sp macro="" textlink="">
          <xdr:nvSpPr>
            <xdr:cNvPr id="39" name="Retângulo: Cantos Arredondados 38">
              <a:extLst>
                <a:ext uri="{FF2B5EF4-FFF2-40B4-BE49-F238E27FC236}">
                  <a16:creationId xmlns:a16="http://schemas.microsoft.com/office/drawing/2014/main" id="{F2338AEB-1A1B-CB2E-C904-4A4E77539C60}"/>
                </a:ext>
              </a:extLst>
            </xdr:cNvPr>
            <xdr:cNvSpPr/>
          </xdr:nvSpPr>
          <xdr:spPr>
            <a:xfrm>
              <a:off x="2808816" y="2151592"/>
              <a:ext cx="1734608" cy="955674"/>
            </a:xfrm>
            <a:prstGeom prst="roundRect">
              <a:avLst/>
            </a:prstGeom>
            <a:solidFill>
              <a:schemeClr val="bg1"/>
            </a:solidFill>
            <a:ln>
              <a:solidFill>
                <a:srgbClr val="04503F"/>
              </a:solidFill>
            </a:ln>
          </xdr:spPr>
          <xdr:style>
            <a:lnRef idx="2">
              <a:schemeClr val="accent3"/>
            </a:lnRef>
            <a:fillRef idx="1">
              <a:schemeClr val="lt1"/>
            </a:fillRef>
            <a:effectRef idx="0">
              <a:schemeClr val="accent3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pt-BR" sz="1100">
                <a:solidFill>
                  <a:schemeClr val="dk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40" name="CaixaDeTexto 39">
              <a:extLst>
                <a:ext uri="{FF2B5EF4-FFF2-40B4-BE49-F238E27FC236}">
                  <a16:creationId xmlns:a16="http://schemas.microsoft.com/office/drawing/2014/main" id="{DDD06F1E-D239-16CC-B0EF-75DF6AC1BBE9}"/>
                </a:ext>
              </a:extLst>
            </xdr:cNvPr>
            <xdr:cNvSpPr txBox="1"/>
          </xdr:nvSpPr>
          <xdr:spPr>
            <a:xfrm>
              <a:off x="3104091" y="2254250"/>
              <a:ext cx="1084792" cy="29315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pt-BR" sz="1100" b="1">
                  <a:solidFill>
                    <a:srgbClr val="04503F"/>
                  </a:solidFill>
                </a:rPr>
                <a:t>PAGAMENTOS</a:t>
              </a:r>
            </a:p>
          </xdr:txBody>
        </xdr:sp>
        <xdr:sp macro="" textlink="">
          <xdr:nvSpPr>
            <xdr:cNvPr id="41" name="CaixaDeTexto 40">
              <a:extLst>
                <a:ext uri="{FF2B5EF4-FFF2-40B4-BE49-F238E27FC236}">
                  <a16:creationId xmlns:a16="http://schemas.microsoft.com/office/drawing/2014/main" id="{BAEDE1FC-CFE5-8751-8505-4DE5C25FE5F6}"/>
                </a:ext>
              </a:extLst>
            </xdr:cNvPr>
            <xdr:cNvSpPr txBox="1"/>
          </xdr:nvSpPr>
          <xdr:spPr>
            <a:xfrm>
              <a:off x="2969910" y="2533615"/>
              <a:ext cx="1398059" cy="4233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pt-BR" sz="2200" b="1">
                  <a:solidFill>
                    <a:srgbClr val="04503F"/>
                  </a:solidFill>
                </a:rPr>
                <a:t>556</a:t>
              </a:r>
            </a:p>
          </xdr:txBody>
        </xdr:sp>
      </xdr:grpSp>
      <xdr:pic>
        <xdr:nvPicPr>
          <xdr:cNvPr id="58" name="Imagem 57">
            <a:extLst>
              <a:ext uri="{FF2B5EF4-FFF2-40B4-BE49-F238E27FC236}">
                <a16:creationId xmlns:a16="http://schemas.microsoft.com/office/drawing/2014/main" id="{745AC204-15B0-FEAB-2D67-125E48D24CB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207952" y="1822231"/>
            <a:ext cx="348748" cy="357615"/>
          </a:xfrm>
          <a:prstGeom prst="rect">
            <a:avLst/>
          </a:prstGeom>
        </xdr:spPr>
      </xdr:pic>
    </xdr:grpSp>
    <xdr:clientData/>
  </xdr:twoCellAnchor>
  <xdr:twoCellAnchor editAs="oneCell">
    <xdr:from>
      <xdr:col>15</xdr:col>
      <xdr:colOff>48479</xdr:colOff>
      <xdr:row>1</xdr:row>
      <xdr:rowOff>183092</xdr:rowOff>
    </xdr:from>
    <xdr:to>
      <xdr:col>15</xdr:col>
      <xdr:colOff>568571</xdr:colOff>
      <xdr:row>4</xdr:row>
      <xdr:rowOff>59517</xdr:rowOff>
    </xdr:to>
    <xdr:pic>
      <xdr:nvPicPr>
        <xdr:cNvPr id="65" name="Imagem 64">
          <a:extLst>
            <a:ext uri="{FF2B5EF4-FFF2-40B4-BE49-F238E27FC236}">
              <a16:creationId xmlns:a16="http://schemas.microsoft.com/office/drawing/2014/main" id="{D02CBE70-1229-0E3D-8361-D628CC732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8354" y="478367"/>
          <a:ext cx="520092" cy="533650"/>
        </a:xfrm>
        <a:prstGeom prst="rect">
          <a:avLst/>
        </a:prstGeom>
      </xdr:spPr>
    </xdr:pic>
    <xdr:clientData/>
  </xdr:twoCellAnchor>
  <xdr:twoCellAnchor editAs="absolute">
    <xdr:from>
      <xdr:col>4</xdr:col>
      <xdr:colOff>0</xdr:colOff>
      <xdr:row>13</xdr:row>
      <xdr:rowOff>85725</xdr:rowOff>
    </xdr:from>
    <xdr:to>
      <xdr:col>11</xdr:col>
      <xdr:colOff>263813</xdr:colOff>
      <xdr:row>27</xdr:row>
      <xdr:rowOff>77194</xdr:rowOff>
    </xdr:to>
    <xdr:graphicFrame macro="">
      <xdr:nvGraphicFramePr>
        <xdr:cNvPr id="66" name="Chart 1">
          <a:extLst>
            <a:ext uri="{FF2B5EF4-FFF2-40B4-BE49-F238E27FC236}">
              <a16:creationId xmlns:a16="http://schemas.microsoft.com/office/drawing/2014/main" id="{67535A8D-EAC0-4C8B-8C53-C5919F4AA7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absolute">
    <xdr:from>
      <xdr:col>11</xdr:col>
      <xdr:colOff>206376</xdr:colOff>
      <xdr:row>13</xdr:row>
      <xdr:rowOff>104476</xdr:rowOff>
    </xdr:from>
    <xdr:to>
      <xdr:col>15</xdr:col>
      <xdr:colOff>392437</xdr:colOff>
      <xdr:row>20</xdr:row>
      <xdr:rowOff>85785</xdr:rowOff>
    </xdr:to>
    <xdr:graphicFrame macro="">
      <xdr:nvGraphicFramePr>
        <xdr:cNvPr id="67" name="Chart 1">
          <a:extLst>
            <a:ext uri="{FF2B5EF4-FFF2-40B4-BE49-F238E27FC236}">
              <a16:creationId xmlns:a16="http://schemas.microsoft.com/office/drawing/2014/main" id="{CE1F46E7-FF78-4B12-BF28-DBDB4EB057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absolute">
    <xdr:from>
      <xdr:col>13</xdr:col>
      <xdr:colOff>231134</xdr:colOff>
      <xdr:row>13</xdr:row>
      <xdr:rowOff>123705</xdr:rowOff>
    </xdr:from>
    <xdr:to>
      <xdr:col>17</xdr:col>
      <xdr:colOff>420370</xdr:colOff>
      <xdr:row>20</xdr:row>
      <xdr:rowOff>105014</xdr:rowOff>
    </xdr:to>
    <xdr:graphicFrame macro="">
      <xdr:nvGraphicFramePr>
        <xdr:cNvPr id="74" name="Chart 1">
          <a:extLst>
            <a:ext uri="{FF2B5EF4-FFF2-40B4-BE49-F238E27FC236}">
              <a16:creationId xmlns:a16="http://schemas.microsoft.com/office/drawing/2014/main" id="{6BD722E8-22AB-4B46-93F4-50DD764BD5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absolute">
    <xdr:from>
      <xdr:col>15</xdr:col>
      <xdr:colOff>238745</xdr:colOff>
      <xdr:row>13</xdr:row>
      <xdr:rowOff>104774</xdr:rowOff>
    </xdr:from>
    <xdr:to>
      <xdr:col>19</xdr:col>
      <xdr:colOff>420368</xdr:colOff>
      <xdr:row>20</xdr:row>
      <xdr:rowOff>86083</xdr:rowOff>
    </xdr:to>
    <xdr:graphicFrame macro="">
      <xdr:nvGraphicFramePr>
        <xdr:cNvPr id="75" name="Chart 1">
          <a:extLst>
            <a:ext uri="{FF2B5EF4-FFF2-40B4-BE49-F238E27FC236}">
              <a16:creationId xmlns:a16="http://schemas.microsoft.com/office/drawing/2014/main" id="{339A3B4A-B32B-4252-9311-CDD5379ECC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absolute">
    <xdr:from>
      <xdr:col>17</xdr:col>
      <xdr:colOff>248914</xdr:colOff>
      <xdr:row>13</xdr:row>
      <xdr:rowOff>123466</xdr:rowOff>
    </xdr:from>
    <xdr:to>
      <xdr:col>21</xdr:col>
      <xdr:colOff>438150</xdr:colOff>
      <xdr:row>20</xdr:row>
      <xdr:rowOff>104775</xdr:rowOff>
    </xdr:to>
    <xdr:graphicFrame macro="">
      <xdr:nvGraphicFramePr>
        <xdr:cNvPr id="76" name="Chart 1">
          <a:extLst>
            <a:ext uri="{FF2B5EF4-FFF2-40B4-BE49-F238E27FC236}">
              <a16:creationId xmlns:a16="http://schemas.microsoft.com/office/drawing/2014/main" id="{CA65C310-FFB5-44E9-8837-94ADCF748C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11</xdr:col>
      <xdr:colOff>401109</xdr:colOff>
      <xdr:row>14</xdr:row>
      <xdr:rowOff>44450</xdr:rowOff>
    </xdr:from>
    <xdr:to>
      <xdr:col>11</xdr:col>
      <xdr:colOff>419100</xdr:colOff>
      <xdr:row>25</xdr:row>
      <xdr:rowOff>25400</xdr:rowOff>
    </xdr:to>
    <xdr:cxnSp macro="">
      <xdr:nvCxnSpPr>
        <xdr:cNvPr id="77" name="Conector reto 76">
          <a:extLst>
            <a:ext uri="{FF2B5EF4-FFF2-40B4-BE49-F238E27FC236}">
              <a16:creationId xmlns:a16="http://schemas.microsoft.com/office/drawing/2014/main" id="{99E7E944-143C-44D9-AF25-3CB5B77588AE}"/>
            </a:ext>
          </a:extLst>
        </xdr:cNvPr>
        <xdr:cNvCxnSpPr/>
      </xdr:nvCxnSpPr>
      <xdr:spPr>
        <a:xfrm>
          <a:off x="8544984" y="3054350"/>
          <a:ext cx="17991" cy="2105025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75912</xdr:colOff>
      <xdr:row>29</xdr:row>
      <xdr:rowOff>54769</xdr:rowOff>
    </xdr:from>
    <xdr:to>
      <xdr:col>10</xdr:col>
      <xdr:colOff>349295</xdr:colOff>
      <xdr:row>42</xdr:row>
      <xdr:rowOff>68414</xdr:rowOff>
    </xdr:to>
    <xdr:graphicFrame macro="">
      <xdr:nvGraphicFramePr>
        <xdr:cNvPr id="83" name="Chart 1">
          <a:extLst>
            <a:ext uri="{FF2B5EF4-FFF2-40B4-BE49-F238E27FC236}">
              <a16:creationId xmlns:a16="http://schemas.microsoft.com/office/drawing/2014/main" id="{1B044717-C4C3-41FC-B464-AD876574E5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15</xdr:col>
      <xdr:colOff>27781</xdr:colOff>
      <xdr:row>32</xdr:row>
      <xdr:rowOff>163506</xdr:rowOff>
    </xdr:from>
    <xdr:to>
      <xdr:col>18</xdr:col>
      <xdr:colOff>595311</xdr:colOff>
      <xdr:row>39</xdr:row>
      <xdr:rowOff>161131</xdr:rowOff>
    </xdr:to>
    <xdr:sp macro="" textlink="">
      <xdr:nvSpPr>
        <xdr:cNvPr id="87" name="Retângulo: Cantos Arredondados 86">
          <a:extLst>
            <a:ext uri="{FF2B5EF4-FFF2-40B4-BE49-F238E27FC236}">
              <a16:creationId xmlns:a16="http://schemas.microsoft.com/office/drawing/2014/main" id="{897F72CA-A32D-079A-F9FD-FF9BEA7025D6}"/>
            </a:ext>
          </a:extLst>
        </xdr:cNvPr>
        <xdr:cNvSpPr/>
      </xdr:nvSpPr>
      <xdr:spPr>
        <a:xfrm>
          <a:off x="10564812" y="6557162"/>
          <a:ext cx="2389187" cy="1319219"/>
        </a:xfrm>
        <a:prstGeom prst="roundRect">
          <a:avLst/>
        </a:prstGeom>
        <a:noFill/>
        <a:ln>
          <a:solidFill>
            <a:srgbClr val="04503F"/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190501</xdr:colOff>
      <xdr:row>0</xdr:row>
      <xdr:rowOff>104772</xdr:rowOff>
    </xdr:from>
    <xdr:to>
      <xdr:col>2</xdr:col>
      <xdr:colOff>409575</xdr:colOff>
      <xdr:row>3</xdr:row>
      <xdr:rowOff>74970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2A662DD-DA8D-4446-B01B-392D6716B3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696" b="23396"/>
        <a:stretch>
          <a:fillRect/>
        </a:stretch>
      </xdr:blipFill>
      <xdr:spPr>
        <a:xfrm>
          <a:off x="190501" y="107947"/>
          <a:ext cx="1435099" cy="68139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190501</xdr:colOff>
      <xdr:row>0</xdr:row>
      <xdr:rowOff>104772</xdr:rowOff>
    </xdr:from>
    <xdr:to>
      <xdr:col>2</xdr:col>
      <xdr:colOff>409575</xdr:colOff>
      <xdr:row>3</xdr:row>
      <xdr:rowOff>74970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4F946AE-06CA-4F84-A469-B0DE203201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696" b="23396"/>
        <a:stretch>
          <a:fillRect/>
        </a:stretch>
      </xdr:blipFill>
      <xdr:spPr>
        <a:xfrm>
          <a:off x="190501" y="107947"/>
          <a:ext cx="1438274" cy="68139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190501</xdr:colOff>
      <xdr:row>0</xdr:row>
      <xdr:rowOff>104772</xdr:rowOff>
    </xdr:from>
    <xdr:to>
      <xdr:col>2</xdr:col>
      <xdr:colOff>406400</xdr:colOff>
      <xdr:row>3</xdr:row>
      <xdr:rowOff>74970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2835D7F-885B-4B82-9F6E-9F7D0F546E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696" b="23396"/>
        <a:stretch>
          <a:fillRect/>
        </a:stretch>
      </xdr:blipFill>
      <xdr:spPr>
        <a:xfrm>
          <a:off x="190501" y="107947"/>
          <a:ext cx="1438274" cy="681398"/>
        </a:xfrm>
        <a:prstGeom prst="rect">
          <a:avLst/>
        </a:prstGeom>
      </xdr:spPr>
    </xdr:pic>
    <xdr:clientData/>
  </xdr:twoCellAnchor>
  <xdr:oneCellAnchor>
    <xdr:from>
      <xdr:col>3</xdr:col>
      <xdr:colOff>187326</xdr:colOff>
      <xdr:row>18</xdr:row>
      <xdr:rowOff>35983</xdr:rowOff>
    </xdr:from>
    <xdr:ext cx="6945842" cy="3012017"/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B6A76EE-8E30-4BE3-B2BE-2F79984A5F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10</xdr:col>
      <xdr:colOff>161925</xdr:colOff>
      <xdr:row>18</xdr:row>
      <xdr:rowOff>63500</xdr:rowOff>
    </xdr:from>
    <xdr:ext cx="6944400" cy="3013200"/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6634FA09-5E4A-4E71-A90A-2D558C69B6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twoCellAnchor>
    <xdr:from>
      <xdr:col>9</xdr:col>
      <xdr:colOff>860425</xdr:colOff>
      <xdr:row>18</xdr:row>
      <xdr:rowOff>113241</xdr:rowOff>
    </xdr:from>
    <xdr:to>
      <xdr:col>9</xdr:col>
      <xdr:colOff>867834</xdr:colOff>
      <xdr:row>34</xdr:row>
      <xdr:rowOff>113242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C31CD916-46E8-11FD-9B48-6028245CE4A8}"/>
            </a:ext>
          </a:extLst>
        </xdr:cNvPr>
        <xdr:cNvCxnSpPr/>
      </xdr:nvCxnSpPr>
      <xdr:spPr>
        <a:xfrm flipH="1">
          <a:off x="9221258" y="3785658"/>
          <a:ext cx="7409" cy="2942167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190501</xdr:colOff>
      <xdr:row>0</xdr:row>
      <xdr:rowOff>104772</xdr:rowOff>
    </xdr:from>
    <xdr:to>
      <xdr:col>2</xdr:col>
      <xdr:colOff>409575</xdr:colOff>
      <xdr:row>3</xdr:row>
      <xdr:rowOff>74970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AC1548C-602E-4F3E-8CCB-2AA00335B9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696" b="23396"/>
        <a:stretch>
          <a:fillRect/>
        </a:stretch>
      </xdr:blipFill>
      <xdr:spPr>
        <a:xfrm>
          <a:off x="190501" y="107947"/>
          <a:ext cx="1438274" cy="68139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190501</xdr:colOff>
      <xdr:row>0</xdr:row>
      <xdr:rowOff>104772</xdr:rowOff>
    </xdr:from>
    <xdr:to>
      <xdr:col>2</xdr:col>
      <xdr:colOff>409575</xdr:colOff>
      <xdr:row>3</xdr:row>
      <xdr:rowOff>74970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B2479E3-0802-4A2A-8130-B5401FDF9E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696" b="23396"/>
        <a:stretch>
          <a:fillRect/>
        </a:stretch>
      </xdr:blipFill>
      <xdr:spPr>
        <a:xfrm>
          <a:off x="190501" y="107947"/>
          <a:ext cx="1438274" cy="68139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190501</xdr:colOff>
      <xdr:row>0</xdr:row>
      <xdr:rowOff>104772</xdr:rowOff>
    </xdr:from>
    <xdr:to>
      <xdr:col>2</xdr:col>
      <xdr:colOff>406400</xdr:colOff>
      <xdr:row>3</xdr:row>
      <xdr:rowOff>74970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72BDD05-526A-4119-B807-41AEE8E2C4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696" b="23396"/>
        <a:stretch>
          <a:fillRect/>
        </a:stretch>
      </xdr:blipFill>
      <xdr:spPr>
        <a:xfrm>
          <a:off x="190501" y="107947"/>
          <a:ext cx="1438274" cy="68139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190501</xdr:colOff>
      <xdr:row>0</xdr:row>
      <xdr:rowOff>104772</xdr:rowOff>
    </xdr:from>
    <xdr:to>
      <xdr:col>2</xdr:col>
      <xdr:colOff>406400</xdr:colOff>
      <xdr:row>3</xdr:row>
      <xdr:rowOff>74970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CB2F253-9D0A-47E4-9BEC-F703557FC0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696" b="23396"/>
        <a:stretch>
          <a:fillRect/>
        </a:stretch>
      </xdr:blipFill>
      <xdr:spPr>
        <a:xfrm>
          <a:off x="190501" y="107947"/>
          <a:ext cx="1438274" cy="68139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190501</xdr:colOff>
      <xdr:row>0</xdr:row>
      <xdr:rowOff>104772</xdr:rowOff>
    </xdr:from>
    <xdr:to>
      <xdr:col>2</xdr:col>
      <xdr:colOff>409575</xdr:colOff>
      <xdr:row>3</xdr:row>
      <xdr:rowOff>74970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B4C4FA6-F275-4495-BAA1-627D000214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696" b="23396"/>
        <a:stretch>
          <a:fillRect/>
        </a:stretch>
      </xdr:blipFill>
      <xdr:spPr>
        <a:xfrm>
          <a:off x="190501" y="107947"/>
          <a:ext cx="1438274" cy="68139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190501</xdr:colOff>
      <xdr:row>0</xdr:row>
      <xdr:rowOff>104772</xdr:rowOff>
    </xdr:from>
    <xdr:to>
      <xdr:col>2</xdr:col>
      <xdr:colOff>406400</xdr:colOff>
      <xdr:row>3</xdr:row>
      <xdr:rowOff>74970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9F19962-9DD9-4316-9D67-8E094A3322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696" b="23396"/>
        <a:stretch>
          <a:fillRect/>
        </a:stretch>
      </xdr:blipFill>
      <xdr:spPr>
        <a:xfrm>
          <a:off x="190501" y="107947"/>
          <a:ext cx="1438274" cy="68139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190501</xdr:colOff>
      <xdr:row>0</xdr:row>
      <xdr:rowOff>104772</xdr:rowOff>
    </xdr:from>
    <xdr:to>
      <xdr:col>2</xdr:col>
      <xdr:colOff>406400</xdr:colOff>
      <xdr:row>3</xdr:row>
      <xdr:rowOff>74970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0602A31-190B-4C9A-9316-72D2E21E1D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696" b="23396"/>
        <a:stretch>
          <a:fillRect/>
        </a:stretch>
      </xdr:blipFill>
      <xdr:spPr>
        <a:xfrm>
          <a:off x="190501" y="107947"/>
          <a:ext cx="1438274" cy="68139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190501</xdr:colOff>
      <xdr:row>0</xdr:row>
      <xdr:rowOff>104772</xdr:rowOff>
    </xdr:from>
    <xdr:to>
      <xdr:col>2</xdr:col>
      <xdr:colOff>409575</xdr:colOff>
      <xdr:row>3</xdr:row>
      <xdr:rowOff>74970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F90DF7E-626D-4173-B0F3-BAE7870E32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696" b="23396"/>
        <a:stretch>
          <a:fillRect/>
        </a:stretch>
      </xdr:blipFill>
      <xdr:spPr>
        <a:xfrm>
          <a:off x="190501" y="107947"/>
          <a:ext cx="1438274" cy="68139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190501</xdr:colOff>
      <xdr:row>0</xdr:row>
      <xdr:rowOff>104772</xdr:rowOff>
    </xdr:from>
    <xdr:to>
      <xdr:col>2</xdr:col>
      <xdr:colOff>406400</xdr:colOff>
      <xdr:row>3</xdr:row>
      <xdr:rowOff>74970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1719911-F914-477D-8E3C-42B09D1155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696" b="23396"/>
        <a:stretch>
          <a:fillRect/>
        </a:stretch>
      </xdr:blipFill>
      <xdr:spPr>
        <a:xfrm>
          <a:off x="190501" y="107947"/>
          <a:ext cx="1438274" cy="68139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Base" displayName="tblBase" ref="E5:M8" headerRowDxfId="11" dataDxfId="10" totalsRowDxfId="9">
  <autoFilter ref="E5:M8" xr:uid="{00000000-0009-0000-0100-000001000000}"/>
  <tableColumns count="9">
    <tableColumn id="1" xr3:uid="{00000000-0010-0000-0000-000001000000}" name="Data" dataDxfId="8"/>
    <tableColumn id="2" xr3:uid="{00000000-0010-0000-0000-000002000000}" name="Hora" dataDxfId="7"/>
    <tableColumn id="3" xr3:uid="{00000000-0010-0000-0000-000003000000}" name="Operador" dataDxfId="6"/>
    <tableColumn id="4" xr3:uid="{00000000-0010-0000-0000-000004000000}" name="Equipe" dataDxfId="5"/>
    <tableColumn id="5" xr3:uid="{00000000-0010-0000-0000-000005000000}" name="Tabulação" dataDxfId="4"/>
    <tableColumn id="6" xr3:uid="{00000000-0010-0000-0000-000006000000}" name="Subtabulação" dataDxfId="3"/>
    <tableColumn id="7" xr3:uid="{00000000-0010-0000-0000-000007000000}" name="Qtde" dataDxfId="2"/>
    <tableColumn id="8" xr3:uid="{00000000-0010-0000-0000-000008000000}" name="TMA" dataDxfId="1"/>
    <tableColumn id="9" xr3:uid="{00000000-0010-0000-0000-000009000000}" name="TME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D97A"/>
  </sheetPr>
  <dimension ref="A1:BR40"/>
  <sheetViews>
    <sheetView showGridLines="0" showRowColHeaders="0" tabSelected="1" zoomScale="80" zoomScaleNormal="80" workbookViewId="0">
      <pane ySplit="5" topLeftCell="A6" activePane="bottomLeft" state="frozen"/>
      <selection pane="bottomLeft"/>
    </sheetView>
  </sheetViews>
  <sheetFormatPr defaultColWidth="8.7265625" defaultRowHeight="14.5" x14ac:dyDescent="0.35"/>
  <cols>
    <col min="1" max="2" width="8.7265625" style="17" customWidth="1"/>
    <col min="3" max="3" width="8.7265625" style="15" customWidth="1"/>
    <col min="4" max="4" width="3.1796875" customWidth="1"/>
    <col min="5" max="5" width="23" customWidth="1"/>
    <col min="6" max="8" width="12.6328125" customWidth="1"/>
    <col min="9" max="26" width="8.7265625" customWidth="1"/>
  </cols>
  <sheetData>
    <row r="1" spans="1:70" ht="23.5" x14ac:dyDescent="0.55000000000000004">
      <c r="E1" s="21" t="s">
        <v>62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</row>
    <row r="2" spans="1:70" x14ac:dyDescent="0.35">
      <c r="E2" s="36"/>
      <c r="F2" s="36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</row>
    <row r="3" spans="1:70" ht="18.5" x14ac:dyDescent="0.35">
      <c r="E3" s="23" t="s">
        <v>125</v>
      </c>
      <c r="F3" s="37" t="s">
        <v>124</v>
      </c>
      <c r="G3" s="5" t="str">
        <f>'00_CONFIG'!B6</f>
        <v>Banco X</v>
      </c>
      <c r="H3" s="37" t="s">
        <v>126</v>
      </c>
      <c r="I3" s="5" t="str">
        <f>'00_CONFIG'!B7</f>
        <v>Cobrança</v>
      </c>
      <c r="K3" s="37" t="s">
        <v>127</v>
      </c>
      <c r="L3" s="5" t="str">
        <f>'00_CONFIG'!B8&amp;" a "&amp;'00_CONFIG'!B9</f>
        <v>01/09/2026 a 03/09/2026</v>
      </c>
      <c r="Q3" s="24" t="s">
        <v>100</v>
      </c>
    </row>
    <row r="4" spans="1:70" ht="18.5" x14ac:dyDescent="0.35">
      <c r="E4" s="38" t="s">
        <v>128</v>
      </c>
      <c r="Q4" s="50" t="str">
        <f>'00_CONFIG'!B12</f>
        <v>03/09/2026 15:00</v>
      </c>
      <c r="R4" s="50"/>
    </row>
    <row r="5" spans="1:70" x14ac:dyDescent="0.35">
      <c r="E5" s="5"/>
    </row>
    <row r="6" spans="1:70" x14ac:dyDescent="0.35">
      <c r="E6" s="12"/>
      <c r="G6" s="12"/>
      <c r="H6" s="14"/>
      <c r="I6" s="12"/>
      <c r="J6" s="14"/>
      <c r="K6" s="12"/>
      <c r="L6" s="14"/>
      <c r="M6" s="12"/>
      <c r="N6" s="14"/>
      <c r="O6" s="12"/>
    </row>
    <row r="7" spans="1:70" ht="14.5" customHeight="1" x14ac:dyDescent="0.35">
      <c r="E7" s="13"/>
      <c r="G7" s="13"/>
      <c r="I7" s="13"/>
      <c r="K7" s="13"/>
      <c r="M7" s="13"/>
      <c r="O7" s="12"/>
    </row>
    <row r="8" spans="1:70" ht="20" customHeight="1" x14ac:dyDescent="0.35">
      <c r="A8" s="47" t="s">
        <v>95</v>
      </c>
      <c r="B8" s="47"/>
      <c r="C8" s="47"/>
      <c r="E8" s="48"/>
      <c r="G8" s="48"/>
      <c r="I8" s="48"/>
      <c r="K8" s="48"/>
      <c r="M8" s="48"/>
      <c r="O8" s="51"/>
    </row>
    <row r="9" spans="1:70" x14ac:dyDescent="0.35">
      <c r="E9" s="48"/>
      <c r="G9" s="48"/>
      <c r="I9" s="48"/>
      <c r="K9" s="48"/>
      <c r="M9" s="48"/>
      <c r="O9" s="51"/>
    </row>
    <row r="11" spans="1:70" ht="20" customHeight="1" x14ac:dyDescent="0.35">
      <c r="A11" s="47" t="s">
        <v>96</v>
      </c>
      <c r="B11" s="47"/>
      <c r="C11" s="47"/>
    </row>
    <row r="13" spans="1:70" ht="15.5" x14ac:dyDescent="0.35">
      <c r="E13" s="40" t="s">
        <v>131</v>
      </c>
      <c r="M13" s="40" t="s">
        <v>131</v>
      </c>
    </row>
    <row r="14" spans="1:70" ht="20" customHeight="1" x14ac:dyDescent="0.35">
      <c r="A14" s="47" t="s">
        <v>97</v>
      </c>
      <c r="B14" s="47"/>
      <c r="C14" s="47"/>
    </row>
    <row r="15" spans="1:70" ht="14.5" customHeight="1" x14ac:dyDescent="0.35"/>
    <row r="16" spans="1:70" ht="14.5" customHeight="1" x14ac:dyDescent="0.35">
      <c r="G16" s="25"/>
    </row>
    <row r="17" spans="1:20" ht="20" customHeight="1" x14ac:dyDescent="0.35">
      <c r="A17" s="47" t="s">
        <v>98</v>
      </c>
      <c r="B17" s="47"/>
      <c r="C17" s="47"/>
      <c r="G17" s="25"/>
      <c r="N17" s="49">
        <f>'02_OPERACIONAL'!F40</f>
        <v>0.17861036406516481</v>
      </c>
      <c r="P17" s="49">
        <f>'02_OPERACIONAL'!G40</f>
        <v>0.23844693897921596</v>
      </c>
      <c r="R17" s="49">
        <f>'02_OPERACIONAL'!H40</f>
        <v>0.60857303933277795</v>
      </c>
      <c r="T17" s="49">
        <f>'02_OPERACIONAL'!I40</f>
        <v>0.11550404247173975</v>
      </c>
    </row>
    <row r="18" spans="1:20" x14ac:dyDescent="0.35">
      <c r="G18" s="25"/>
      <c r="N18" s="49"/>
      <c r="P18" s="49"/>
      <c r="R18" s="49"/>
      <c r="T18" s="49"/>
    </row>
    <row r="19" spans="1:20" x14ac:dyDescent="0.35">
      <c r="G19" s="25"/>
    </row>
    <row r="20" spans="1:20" ht="18.5" x14ac:dyDescent="0.35">
      <c r="A20" s="47" t="s">
        <v>99</v>
      </c>
      <c r="B20" s="47"/>
      <c r="C20" s="47"/>
      <c r="G20" s="25"/>
    </row>
    <row r="21" spans="1:20" x14ac:dyDescent="0.35">
      <c r="G21" s="25"/>
      <c r="N21" s="39" t="s">
        <v>17</v>
      </c>
      <c r="P21" s="39" t="s">
        <v>108</v>
      </c>
      <c r="R21" s="39" t="s">
        <v>23</v>
      </c>
      <c r="T21" s="39" t="s">
        <v>130</v>
      </c>
    </row>
    <row r="29" spans="1:20" ht="15.5" x14ac:dyDescent="0.35">
      <c r="E29" s="40" t="s">
        <v>134</v>
      </c>
    </row>
    <row r="35" spans="5:18" ht="15.5" x14ac:dyDescent="0.35">
      <c r="E35" s="6" t="s">
        <v>3</v>
      </c>
      <c r="Q35" s="52">
        <f>$G$40</f>
        <v>0.86184873949579832</v>
      </c>
      <c r="R35" s="52"/>
    </row>
    <row r="36" spans="5:18" ht="15.5" x14ac:dyDescent="0.35">
      <c r="E36" s="6"/>
      <c r="Q36" s="52"/>
      <c r="R36" s="52"/>
    </row>
    <row r="37" spans="5:18" x14ac:dyDescent="0.35">
      <c r="E37" s="18" t="s">
        <v>4</v>
      </c>
      <c r="F37" s="18" t="s">
        <v>133</v>
      </c>
      <c r="G37" s="18" t="s">
        <v>7</v>
      </c>
      <c r="H37" s="18" t="s">
        <v>6</v>
      </c>
      <c r="I37" s="18" t="s">
        <v>5</v>
      </c>
    </row>
    <row r="38" spans="5:18" ht="15.5" x14ac:dyDescent="0.35">
      <c r="E38" s="8" t="s">
        <v>11</v>
      </c>
      <c r="F38" s="41">
        <v>1</v>
      </c>
      <c r="G38" s="9">
        <v>0.92941176470588238</v>
      </c>
      <c r="H38" s="7">
        <v>8500</v>
      </c>
      <c r="I38" s="7">
        <v>7900</v>
      </c>
      <c r="Q38" s="53" t="s">
        <v>132</v>
      </c>
      <c r="R38" s="53"/>
    </row>
    <row r="39" spans="5:18" x14ac:dyDescent="0.35">
      <c r="E39" s="8" t="s">
        <v>13</v>
      </c>
      <c r="F39" s="41">
        <v>1</v>
      </c>
      <c r="G39" s="9">
        <v>0.79428571428571426</v>
      </c>
      <c r="H39" s="8">
        <v>700</v>
      </c>
      <c r="I39" s="7">
        <v>556</v>
      </c>
    </row>
    <row r="40" spans="5:18" x14ac:dyDescent="0.35">
      <c r="G40" s="42">
        <f>AVERAGE(G38:G39)</f>
        <v>0.86184873949579832</v>
      </c>
    </row>
  </sheetData>
  <mergeCells count="18">
    <mergeCell ref="Q35:R36"/>
    <mergeCell ref="Q38:R38"/>
    <mergeCell ref="N17:N18"/>
    <mergeCell ref="P17:P18"/>
    <mergeCell ref="R17:R18"/>
    <mergeCell ref="A20:C20"/>
    <mergeCell ref="K8:K9"/>
    <mergeCell ref="M8:M9"/>
    <mergeCell ref="T17:T18"/>
    <mergeCell ref="Q4:R4"/>
    <mergeCell ref="O8:O9"/>
    <mergeCell ref="A11:C11"/>
    <mergeCell ref="A8:C8"/>
    <mergeCell ref="A14:C14"/>
    <mergeCell ref="E8:E9"/>
    <mergeCell ref="G8:G9"/>
    <mergeCell ref="I8:I9"/>
    <mergeCell ref="A17:C17"/>
  </mergeCells>
  <hyperlinks>
    <hyperlink ref="A11:C11" location="'02_OPERACIONAL'!A1" display="Operacional" xr:uid="{32F847B5-02C0-4123-B2E2-5F66F0918D90}"/>
    <hyperlink ref="A14:C14" location="'03_DETALHAMENTO'!A1" display="Detalhamento" xr:uid="{9495E522-AD20-47FE-B7D2-EADA9F95E13B}"/>
    <hyperlink ref="A17:C17" location="'04_INDICADORES'!A1" display="Indicadores" xr:uid="{5A9D602E-93C5-488B-B7D3-FC3401902283}"/>
    <hyperlink ref="A20:C20" location="'05_BASE'!A1" display="Base" xr:uid="{CE43533D-7BBC-4382-BAF6-C4DF7414F73A}"/>
    <hyperlink ref="A8:C8" location="'01_RESUMO'!A1" display="Resumo" xr:uid="{00B6CD28-9D9D-4324-93D7-7C1C0A2FBE0B}"/>
  </hyperlink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D97A"/>
  </sheetPr>
  <dimension ref="A1:BS51"/>
  <sheetViews>
    <sheetView showGridLines="0" showRowColHeaders="0" zoomScale="80" zoomScaleNormal="80" workbookViewId="0">
      <pane ySplit="4" topLeftCell="A5" activePane="bottomLeft" state="frozen"/>
      <selection pane="bottomLeft" activeCell="A13" sqref="A13:C13"/>
    </sheetView>
  </sheetViews>
  <sheetFormatPr defaultRowHeight="14.5" x14ac:dyDescent="0.35"/>
  <cols>
    <col min="1" max="2" width="8.7265625" style="17"/>
    <col min="3" max="3" width="8.7265625" style="15"/>
    <col min="4" max="4" width="3.1796875" customWidth="1"/>
    <col min="5" max="15" width="18" customWidth="1"/>
  </cols>
  <sheetData>
    <row r="1" spans="1:71" ht="23.5" x14ac:dyDescent="0.55000000000000004">
      <c r="E1" s="54" t="s">
        <v>62</v>
      </c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</row>
    <row r="2" spans="1:71" ht="18.5" x14ac:dyDescent="0.45">
      <c r="E2" s="3" t="s">
        <v>21</v>
      </c>
      <c r="F2" s="4"/>
      <c r="G2" s="4"/>
      <c r="H2" s="4"/>
      <c r="I2" s="4"/>
      <c r="J2" s="4"/>
      <c r="K2" s="4"/>
      <c r="L2" s="4"/>
      <c r="M2" s="4"/>
      <c r="N2" s="4"/>
      <c r="O2" s="4"/>
    </row>
    <row r="3" spans="1:71" x14ac:dyDescent="0.35">
      <c r="E3" s="24" t="s">
        <v>1</v>
      </c>
    </row>
    <row r="5" spans="1:71" x14ac:dyDescent="0.35">
      <c r="E5" s="16" t="s">
        <v>8</v>
      </c>
      <c r="F5" s="16" t="s">
        <v>9</v>
      </c>
      <c r="G5" s="16" t="s">
        <v>10</v>
      </c>
      <c r="H5" s="16" t="s">
        <v>2</v>
      </c>
      <c r="I5" s="16" t="s">
        <v>11</v>
      </c>
      <c r="J5" s="16" t="s">
        <v>13</v>
      </c>
      <c r="K5" s="16" t="s">
        <v>17</v>
      </c>
      <c r="L5" s="16" t="s">
        <v>22</v>
      </c>
      <c r="M5" s="16" t="s">
        <v>23</v>
      </c>
      <c r="N5" s="30" t="s">
        <v>107</v>
      </c>
      <c r="O5" s="16" t="s">
        <v>24</v>
      </c>
    </row>
    <row r="6" spans="1:71" x14ac:dyDescent="0.35">
      <c r="E6" s="19" t="s">
        <v>12</v>
      </c>
      <c r="F6" s="26">
        <v>1245</v>
      </c>
      <c r="G6" s="26">
        <v>182</v>
      </c>
      <c r="H6" s="26">
        <v>42</v>
      </c>
      <c r="I6" s="26">
        <v>20</v>
      </c>
      <c r="J6" s="26">
        <v>3</v>
      </c>
      <c r="K6" s="20">
        <f>G6/F6</f>
        <v>0.14618473895582329</v>
      </c>
      <c r="L6" s="20">
        <f>H6/G6</f>
        <v>0.23076923076923078</v>
      </c>
      <c r="M6" s="20">
        <f>I6/H6</f>
        <v>0.47619047619047616</v>
      </c>
      <c r="N6" s="20">
        <f>J6/I6</f>
        <v>0.15</v>
      </c>
      <c r="O6" s="32" t="s">
        <v>25</v>
      </c>
    </row>
    <row r="7" spans="1:71" ht="18.5" x14ac:dyDescent="0.35">
      <c r="A7" s="47" t="s">
        <v>95</v>
      </c>
      <c r="B7" s="47"/>
      <c r="C7" s="47"/>
      <c r="E7" s="19" t="s">
        <v>14</v>
      </c>
      <c r="F7" s="26">
        <v>3820</v>
      </c>
      <c r="G7" s="26">
        <v>612</v>
      </c>
      <c r="H7" s="26">
        <v>143</v>
      </c>
      <c r="I7" s="26">
        <v>89</v>
      </c>
      <c r="J7" s="26">
        <v>12</v>
      </c>
      <c r="K7" s="20">
        <f t="shared" ref="K7:K16" si="0">G7/F7</f>
        <v>0.16020942408376965</v>
      </c>
      <c r="L7" s="20">
        <f t="shared" ref="L7:L16" si="1">H7/G7</f>
        <v>0.23366013071895425</v>
      </c>
      <c r="M7" s="20">
        <f t="shared" ref="M7:M16" si="2">I7/H7</f>
        <v>0.6223776223776224</v>
      </c>
      <c r="N7" s="20">
        <f t="shared" ref="N7:N16" si="3">J7/I7</f>
        <v>0.1348314606741573</v>
      </c>
      <c r="O7" s="32" t="s">
        <v>26</v>
      </c>
    </row>
    <row r="8" spans="1:71" x14ac:dyDescent="0.35">
      <c r="E8" s="19" t="s">
        <v>16</v>
      </c>
      <c r="F8" s="26">
        <v>4560</v>
      </c>
      <c r="G8" s="26">
        <v>812</v>
      </c>
      <c r="H8" s="26">
        <v>194</v>
      </c>
      <c r="I8" s="26">
        <v>121</v>
      </c>
      <c r="J8" s="26">
        <v>17</v>
      </c>
      <c r="K8" s="20">
        <f t="shared" si="0"/>
        <v>0.17807017543859649</v>
      </c>
      <c r="L8" s="20">
        <f t="shared" si="1"/>
        <v>0.23891625615763548</v>
      </c>
      <c r="M8" s="20">
        <f t="shared" si="2"/>
        <v>0.62371134020618557</v>
      </c>
      <c r="N8" s="20">
        <f t="shared" si="3"/>
        <v>0.14049586776859505</v>
      </c>
      <c r="O8" s="32" t="s">
        <v>27</v>
      </c>
    </row>
    <row r="9" spans="1:71" x14ac:dyDescent="0.35">
      <c r="E9" s="19" t="s">
        <v>18</v>
      </c>
      <c r="F9" s="26">
        <v>6120</v>
      </c>
      <c r="G9" s="26">
        <v>1150</v>
      </c>
      <c r="H9" s="26">
        <v>276</v>
      </c>
      <c r="I9" s="26">
        <v>176</v>
      </c>
      <c r="J9" s="26">
        <v>24</v>
      </c>
      <c r="K9" s="20">
        <f t="shared" si="0"/>
        <v>0.18790849673202614</v>
      </c>
      <c r="L9" s="20">
        <f t="shared" si="1"/>
        <v>0.24</v>
      </c>
      <c r="M9" s="20">
        <f t="shared" si="2"/>
        <v>0.6376811594202898</v>
      </c>
      <c r="N9" s="20">
        <f t="shared" si="3"/>
        <v>0.13636363636363635</v>
      </c>
      <c r="O9" s="32" t="s">
        <v>28</v>
      </c>
    </row>
    <row r="10" spans="1:71" ht="18.5" x14ac:dyDescent="0.35">
      <c r="A10" s="47" t="s">
        <v>96</v>
      </c>
      <c r="B10" s="47"/>
      <c r="C10" s="47"/>
      <c r="E10" s="19" t="s">
        <v>19</v>
      </c>
      <c r="F10" s="26">
        <v>7890</v>
      </c>
      <c r="G10" s="26">
        <v>1520</v>
      </c>
      <c r="H10" s="26">
        <v>368</v>
      </c>
      <c r="I10" s="26">
        <v>221</v>
      </c>
      <c r="J10" s="26">
        <v>27</v>
      </c>
      <c r="K10" s="20">
        <f t="shared" si="0"/>
        <v>0.1926489226869455</v>
      </c>
      <c r="L10" s="20">
        <f t="shared" si="1"/>
        <v>0.24210526315789474</v>
      </c>
      <c r="M10" s="20">
        <f t="shared" si="2"/>
        <v>0.60054347826086951</v>
      </c>
      <c r="N10" s="20">
        <f t="shared" si="3"/>
        <v>0.12217194570135746</v>
      </c>
      <c r="O10" s="32" t="s">
        <v>28</v>
      </c>
    </row>
    <row r="11" spans="1:71" x14ac:dyDescent="0.35">
      <c r="E11" s="19" t="s">
        <v>20</v>
      </c>
      <c r="F11" s="26">
        <v>8450</v>
      </c>
      <c r="G11" s="26">
        <v>1630</v>
      </c>
      <c r="H11" s="26">
        <v>392</v>
      </c>
      <c r="I11" s="26">
        <v>245</v>
      </c>
      <c r="J11" s="26">
        <v>31</v>
      </c>
      <c r="K11" s="20">
        <f t="shared" si="0"/>
        <v>0.19289940828402366</v>
      </c>
      <c r="L11" s="20">
        <f t="shared" si="1"/>
        <v>0.24049079754601227</v>
      </c>
      <c r="M11" s="20">
        <f t="shared" si="2"/>
        <v>0.625</v>
      </c>
      <c r="N11" s="20">
        <f t="shared" si="3"/>
        <v>0.12653061224489795</v>
      </c>
      <c r="O11" s="32" t="s">
        <v>25</v>
      </c>
    </row>
    <row r="12" spans="1:71" x14ac:dyDescent="0.35">
      <c r="E12" s="19" t="s">
        <v>101</v>
      </c>
      <c r="F12" s="26">
        <v>8100</v>
      </c>
      <c r="G12" s="26">
        <v>1520</v>
      </c>
      <c r="H12" s="26">
        <v>360</v>
      </c>
      <c r="I12" s="26">
        <v>236</v>
      </c>
      <c r="J12" s="26">
        <v>28</v>
      </c>
      <c r="K12" s="20">
        <f t="shared" si="0"/>
        <v>0.18765432098765433</v>
      </c>
      <c r="L12" s="20">
        <f t="shared" si="1"/>
        <v>0.23684210526315788</v>
      </c>
      <c r="M12" s="20">
        <f t="shared" si="2"/>
        <v>0.65555555555555556</v>
      </c>
      <c r="N12" s="20">
        <f t="shared" si="3"/>
        <v>0.11864406779661017</v>
      </c>
      <c r="O12" s="32" t="s">
        <v>28</v>
      </c>
      <c r="T12" s="29"/>
    </row>
    <row r="13" spans="1:71" ht="18.5" x14ac:dyDescent="0.35">
      <c r="A13" s="47" t="s">
        <v>97</v>
      </c>
      <c r="B13" s="47"/>
      <c r="C13" s="47"/>
      <c r="E13" s="19" t="s">
        <v>102</v>
      </c>
      <c r="F13" s="26">
        <v>7820</v>
      </c>
      <c r="G13" s="26">
        <v>1420</v>
      </c>
      <c r="H13" s="26">
        <v>334</v>
      </c>
      <c r="I13" s="26">
        <v>217</v>
      </c>
      <c r="J13" s="26">
        <v>23</v>
      </c>
      <c r="K13" s="20">
        <f t="shared" si="0"/>
        <v>0.1815856777493606</v>
      </c>
      <c r="L13" s="20">
        <f t="shared" si="1"/>
        <v>0.23521126760563379</v>
      </c>
      <c r="M13" s="20">
        <f t="shared" si="2"/>
        <v>0.64970059880239517</v>
      </c>
      <c r="N13" s="20">
        <f t="shared" si="3"/>
        <v>0.10599078341013825</v>
      </c>
      <c r="O13" s="32" t="s">
        <v>27</v>
      </c>
    </row>
    <row r="14" spans="1:71" x14ac:dyDescent="0.35">
      <c r="E14" s="19" t="s">
        <v>103</v>
      </c>
      <c r="F14" s="26">
        <v>6150</v>
      </c>
      <c r="G14" s="26">
        <v>1080</v>
      </c>
      <c r="H14" s="26">
        <v>258</v>
      </c>
      <c r="I14" s="26">
        <v>170</v>
      </c>
      <c r="J14" s="26">
        <v>19</v>
      </c>
      <c r="K14" s="20">
        <f t="shared" si="0"/>
        <v>0.17560975609756097</v>
      </c>
      <c r="L14" s="20">
        <f t="shared" si="1"/>
        <v>0.2388888888888889</v>
      </c>
      <c r="M14" s="20">
        <f t="shared" si="2"/>
        <v>0.65891472868217049</v>
      </c>
      <c r="N14" s="20">
        <f t="shared" si="3"/>
        <v>0.11176470588235295</v>
      </c>
      <c r="O14" s="32" t="s">
        <v>25</v>
      </c>
    </row>
    <row r="15" spans="1:71" x14ac:dyDescent="0.35">
      <c r="E15" s="19" t="s">
        <v>104</v>
      </c>
      <c r="F15" s="26">
        <v>4520</v>
      </c>
      <c r="G15" s="26">
        <v>760</v>
      </c>
      <c r="H15" s="26">
        <v>174</v>
      </c>
      <c r="I15" s="26">
        <v>106</v>
      </c>
      <c r="J15" s="26">
        <v>10</v>
      </c>
      <c r="K15" s="20">
        <f t="shared" si="0"/>
        <v>0.16814159292035399</v>
      </c>
      <c r="L15" s="20">
        <f t="shared" si="1"/>
        <v>0.22894736842105262</v>
      </c>
      <c r="M15" s="20">
        <f t="shared" si="2"/>
        <v>0.60919540229885061</v>
      </c>
      <c r="N15" s="20">
        <f t="shared" si="3"/>
        <v>9.4339622641509441E-2</v>
      </c>
      <c r="O15" s="32" t="s">
        <v>28</v>
      </c>
    </row>
    <row r="16" spans="1:71" ht="18.5" x14ac:dyDescent="0.35">
      <c r="A16" s="47" t="s">
        <v>98</v>
      </c>
      <c r="B16" s="47"/>
      <c r="C16" s="47"/>
      <c r="E16" s="19" t="s">
        <v>105</v>
      </c>
      <c r="F16" s="26">
        <v>2549</v>
      </c>
      <c r="G16" s="26">
        <v>494</v>
      </c>
      <c r="H16" s="26">
        <v>127</v>
      </c>
      <c r="I16" s="26">
        <v>68</v>
      </c>
      <c r="J16" s="26">
        <v>2</v>
      </c>
      <c r="K16" s="20">
        <f t="shared" si="0"/>
        <v>0.1938014907806983</v>
      </c>
      <c r="L16" s="20">
        <f t="shared" si="1"/>
        <v>0.25708502024291496</v>
      </c>
      <c r="M16" s="20">
        <f t="shared" si="2"/>
        <v>0.53543307086614178</v>
      </c>
      <c r="N16" s="20">
        <f t="shared" si="3"/>
        <v>2.9411764705882353E-2</v>
      </c>
      <c r="O16" s="32" t="s">
        <v>27</v>
      </c>
    </row>
    <row r="17" spans="1:15" x14ac:dyDescent="0.35">
      <c r="E17" s="16" t="s">
        <v>106</v>
      </c>
      <c r="F17" s="27">
        <f>SUM(F6:F16)</f>
        <v>61224</v>
      </c>
      <c r="G17" s="27">
        <f t="shared" ref="G17:J17" si="4">SUM(G6:G16)</f>
        <v>11180</v>
      </c>
      <c r="H17" s="27">
        <f t="shared" si="4"/>
        <v>2668</v>
      </c>
      <c r="I17" s="27">
        <f t="shared" si="4"/>
        <v>1669</v>
      </c>
      <c r="J17" s="27">
        <f t="shared" si="4"/>
        <v>196</v>
      </c>
      <c r="K17" s="28">
        <f>AVERAGE(K6:K16)</f>
        <v>0.17861036406516481</v>
      </c>
      <c r="L17" s="28">
        <f t="shared" ref="L17:N17" si="5">AVERAGE(L6:L16)</f>
        <v>0.23844693897921596</v>
      </c>
      <c r="M17" s="28">
        <f t="shared" si="5"/>
        <v>0.60857303933277795</v>
      </c>
      <c r="N17" s="28">
        <f t="shared" si="5"/>
        <v>0.11550404247173975</v>
      </c>
      <c r="O17" s="31"/>
    </row>
    <row r="18" spans="1:15" x14ac:dyDescent="0.35">
      <c r="G18" s="25"/>
    </row>
    <row r="19" spans="1:15" ht="18.5" x14ac:dyDescent="0.35">
      <c r="A19" s="47" t="s">
        <v>99</v>
      </c>
      <c r="B19" s="47"/>
      <c r="C19" s="47"/>
      <c r="G19" s="25"/>
    </row>
    <row r="20" spans="1:15" x14ac:dyDescent="0.35">
      <c r="G20" s="25"/>
    </row>
    <row r="37" spans="5:10" x14ac:dyDescent="0.35">
      <c r="E37" s="44"/>
      <c r="F37" s="44"/>
      <c r="G37" s="44"/>
      <c r="H37" s="44"/>
      <c r="I37" s="44"/>
      <c r="J37" s="44"/>
    </row>
    <row r="38" spans="5:10" x14ac:dyDescent="0.35">
      <c r="E38" s="44"/>
      <c r="F38" s="45" t="s">
        <v>17</v>
      </c>
      <c r="G38" s="45" t="s">
        <v>22</v>
      </c>
      <c r="H38" s="45" t="s">
        <v>23</v>
      </c>
      <c r="I38" s="45" t="s">
        <v>107</v>
      </c>
      <c r="J38" s="45" t="s">
        <v>132</v>
      </c>
    </row>
    <row r="39" spans="5:10" x14ac:dyDescent="0.35">
      <c r="E39" s="45" t="s">
        <v>6</v>
      </c>
      <c r="F39" s="43">
        <v>0.7</v>
      </c>
      <c r="G39" s="43">
        <v>0.8</v>
      </c>
      <c r="H39" s="43">
        <v>0.8</v>
      </c>
      <c r="I39" s="43">
        <v>0.5</v>
      </c>
      <c r="J39" s="46">
        <f>AVERAGE(F39:I39)</f>
        <v>0.7</v>
      </c>
    </row>
    <row r="40" spans="5:10" x14ac:dyDescent="0.35">
      <c r="E40" s="45" t="s">
        <v>129</v>
      </c>
      <c r="F40" s="43">
        <v>0.17861036406516481</v>
      </c>
      <c r="G40" s="43">
        <v>0.23844693897921596</v>
      </c>
      <c r="H40" s="43">
        <v>0.60857303933277795</v>
      </c>
      <c r="I40" s="43">
        <v>0.11550404247173975</v>
      </c>
      <c r="J40" s="46">
        <f>AVERAGE(F40:I40)</f>
        <v>0.2852835962122246</v>
      </c>
    </row>
    <row r="41" spans="5:10" x14ac:dyDescent="0.35">
      <c r="E41" s="44"/>
      <c r="F41" s="44"/>
      <c r="G41" s="44"/>
      <c r="H41" s="44"/>
      <c r="I41" s="44"/>
      <c r="J41" s="44"/>
    </row>
    <row r="42" spans="5:10" x14ac:dyDescent="0.35">
      <c r="E42" s="44"/>
      <c r="F42" s="44"/>
      <c r="G42" s="44"/>
      <c r="H42" s="44"/>
      <c r="I42" s="44"/>
      <c r="J42" s="44"/>
    </row>
    <row r="43" spans="5:10" x14ac:dyDescent="0.35">
      <c r="E43" s="44"/>
      <c r="F43" s="44"/>
      <c r="G43" s="44"/>
      <c r="H43" s="44"/>
      <c r="I43" s="44"/>
      <c r="J43" s="44"/>
    </row>
    <row r="44" spans="5:10" x14ac:dyDescent="0.35">
      <c r="E44" s="45" t="s">
        <v>17</v>
      </c>
      <c r="F44" s="43">
        <v>0.17861036406516481</v>
      </c>
      <c r="G44" s="43">
        <v>1</v>
      </c>
      <c r="H44" s="44"/>
      <c r="I44" s="44"/>
      <c r="J44" s="44"/>
    </row>
    <row r="45" spans="5:10" x14ac:dyDescent="0.35">
      <c r="E45" s="45" t="s">
        <v>22</v>
      </c>
      <c r="F45" s="43">
        <v>0.23844693897921596</v>
      </c>
      <c r="G45" s="43">
        <v>1</v>
      </c>
      <c r="H45" s="44"/>
      <c r="I45" s="44"/>
      <c r="J45" s="44"/>
    </row>
    <row r="46" spans="5:10" x14ac:dyDescent="0.35">
      <c r="E46" s="45" t="s">
        <v>23</v>
      </c>
      <c r="F46" s="43">
        <v>0.60857303933277795</v>
      </c>
      <c r="G46" s="43">
        <v>1</v>
      </c>
      <c r="H46" s="44"/>
      <c r="I46" s="44"/>
      <c r="J46" s="44"/>
    </row>
    <row r="47" spans="5:10" x14ac:dyDescent="0.35">
      <c r="E47" s="45" t="s">
        <v>107</v>
      </c>
      <c r="F47" s="43">
        <v>0.11550404247173975</v>
      </c>
      <c r="G47" s="43">
        <v>1</v>
      </c>
      <c r="H47" s="44"/>
      <c r="I47" s="44"/>
      <c r="J47" s="44"/>
    </row>
    <row r="48" spans="5:10" x14ac:dyDescent="0.35">
      <c r="E48" s="44"/>
      <c r="F48" s="44"/>
      <c r="G48" s="44"/>
      <c r="H48" s="44"/>
      <c r="I48" s="44"/>
      <c r="J48" s="44"/>
    </row>
    <row r="49" spans="5:10" x14ac:dyDescent="0.35">
      <c r="E49" s="44"/>
      <c r="F49" s="44"/>
      <c r="G49" s="44"/>
      <c r="H49" s="44"/>
      <c r="I49" s="44"/>
      <c r="J49" s="44"/>
    </row>
    <row r="50" spans="5:10" x14ac:dyDescent="0.35">
      <c r="E50" s="44"/>
      <c r="F50" s="44"/>
      <c r="G50" s="44"/>
      <c r="H50" s="44"/>
      <c r="I50" s="44"/>
      <c r="J50" s="44"/>
    </row>
    <row r="51" spans="5:10" x14ac:dyDescent="0.35">
      <c r="E51" s="44"/>
      <c r="F51" s="44"/>
      <c r="G51" s="44"/>
      <c r="H51" s="44"/>
      <c r="I51" s="44"/>
      <c r="J51" s="44"/>
    </row>
  </sheetData>
  <mergeCells count="6">
    <mergeCell ref="A19:C19"/>
    <mergeCell ref="E1:BS1"/>
    <mergeCell ref="A7:C7"/>
    <mergeCell ref="A10:C10"/>
    <mergeCell ref="A13:C13"/>
    <mergeCell ref="A16:C16"/>
  </mergeCells>
  <hyperlinks>
    <hyperlink ref="A10:C10" location="'02_OPERACIONAL'!A1" display="Operacional" xr:uid="{7358A9A8-6078-429A-A26C-24A76056BBE8}"/>
    <hyperlink ref="A13:C13" location="'03_DETALHAMENTO'!A1" display="Detalhamento" xr:uid="{E6DFEB5C-B7E0-44F0-8DE8-2BD4E35A66C2}"/>
    <hyperlink ref="A16:C16" location="'04_INDICADORES'!A1" display="Indicadores" xr:uid="{71416FE9-2A78-4DC1-8F57-07362E9F8109}"/>
    <hyperlink ref="A19:C19" location="'05_BASE'!A1" display="Base" xr:uid="{5641426B-2438-41B9-8214-01E36155D412}"/>
    <hyperlink ref="A7:C7" location="'01_RESUMO'!A1" display="Resumo" xr:uid="{DD031EA2-F2B7-4FF4-A8D3-059534DDE34B}"/>
  </hyperlink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D97A"/>
  </sheetPr>
  <dimension ref="A1:BR19"/>
  <sheetViews>
    <sheetView showGridLines="0" showRowColHeaders="0" zoomScale="80" zoomScaleNormal="80" workbookViewId="0">
      <pane ySplit="4" topLeftCell="A5" activePane="bottomLeft" state="frozen"/>
      <selection pane="bottomLeft" activeCell="A16" sqref="A16:C16"/>
    </sheetView>
  </sheetViews>
  <sheetFormatPr defaultRowHeight="14.5" x14ac:dyDescent="0.35"/>
  <cols>
    <col min="1" max="2" width="8.7265625" style="17"/>
    <col min="3" max="3" width="8.7265625" style="15"/>
    <col min="4" max="4" width="3.1796875" customWidth="1"/>
    <col min="5" max="8" width="18" customWidth="1"/>
    <col min="9" max="9" width="21.6328125" bestFit="1" customWidth="1"/>
    <col min="10" max="14" width="18" customWidth="1"/>
  </cols>
  <sheetData>
    <row r="1" spans="1:70" ht="23.5" x14ac:dyDescent="0.55000000000000004">
      <c r="E1" s="54" t="s">
        <v>62</v>
      </c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</row>
    <row r="2" spans="1:70" ht="18.5" x14ac:dyDescent="0.45">
      <c r="E2" s="3" t="s">
        <v>29</v>
      </c>
      <c r="F2" s="4"/>
      <c r="G2" s="4"/>
      <c r="H2" s="4"/>
      <c r="I2" s="4"/>
      <c r="J2" s="4"/>
      <c r="K2" s="4"/>
      <c r="L2" s="4"/>
      <c r="M2" s="4"/>
      <c r="N2" s="4"/>
    </row>
    <row r="3" spans="1:70" x14ac:dyDescent="0.35">
      <c r="E3" s="5" t="s">
        <v>1</v>
      </c>
    </row>
    <row r="5" spans="1:70" x14ac:dyDescent="0.35">
      <c r="E5" s="16" t="s">
        <v>30</v>
      </c>
      <c r="F5" s="16" t="s">
        <v>31</v>
      </c>
      <c r="G5" s="16" t="s">
        <v>32</v>
      </c>
      <c r="H5" s="16" t="s">
        <v>33</v>
      </c>
      <c r="I5" s="16" t="s">
        <v>34</v>
      </c>
      <c r="J5" s="16" t="s">
        <v>35</v>
      </c>
      <c r="K5" s="16" t="s">
        <v>24</v>
      </c>
      <c r="L5" s="16" t="s">
        <v>36</v>
      </c>
    </row>
    <row r="6" spans="1:70" x14ac:dyDescent="0.35">
      <c r="E6" s="19" t="s">
        <v>37</v>
      </c>
      <c r="F6" s="19" t="s">
        <v>38</v>
      </c>
      <c r="G6" s="19" t="s">
        <v>39</v>
      </c>
      <c r="H6" s="19" t="s">
        <v>40</v>
      </c>
      <c r="I6" s="19" t="s">
        <v>41</v>
      </c>
      <c r="J6" s="19">
        <v>35</v>
      </c>
      <c r="K6" s="19" t="s">
        <v>25</v>
      </c>
      <c r="L6" s="19" t="s">
        <v>42</v>
      </c>
    </row>
    <row r="7" spans="1:70" ht="18.5" x14ac:dyDescent="0.35">
      <c r="A7" s="47" t="s">
        <v>95</v>
      </c>
      <c r="B7" s="47"/>
      <c r="C7" s="47"/>
      <c r="E7" s="19" t="s">
        <v>37</v>
      </c>
      <c r="F7" s="19" t="s">
        <v>43</v>
      </c>
      <c r="G7" s="19" t="s">
        <v>44</v>
      </c>
      <c r="H7" s="19" t="s">
        <v>40</v>
      </c>
      <c r="I7" s="19" t="s">
        <v>45</v>
      </c>
      <c r="J7" s="19">
        <v>28</v>
      </c>
      <c r="K7" s="19" t="s">
        <v>46</v>
      </c>
      <c r="L7" s="19" t="s">
        <v>47</v>
      </c>
    </row>
    <row r="8" spans="1:70" x14ac:dyDescent="0.35">
      <c r="E8" s="19" t="s">
        <v>37</v>
      </c>
      <c r="F8" s="19" t="s">
        <v>48</v>
      </c>
      <c r="G8" s="19" t="s">
        <v>49</v>
      </c>
      <c r="H8" s="19" t="s">
        <v>40</v>
      </c>
      <c r="I8" s="19" t="s">
        <v>50</v>
      </c>
      <c r="J8" s="19">
        <v>19</v>
      </c>
      <c r="K8" s="19" t="s">
        <v>51</v>
      </c>
      <c r="L8" s="19" t="s">
        <v>52</v>
      </c>
    </row>
    <row r="9" spans="1:70" x14ac:dyDescent="0.35">
      <c r="E9" s="33"/>
      <c r="F9" s="33"/>
      <c r="G9" s="33"/>
      <c r="H9" s="33"/>
      <c r="I9" s="33"/>
      <c r="J9" s="33"/>
      <c r="K9" s="33"/>
      <c r="L9" s="33"/>
    </row>
    <row r="10" spans="1:70" ht="18.5" x14ac:dyDescent="0.35">
      <c r="A10" s="47" t="s">
        <v>96</v>
      </c>
      <c r="B10" s="47"/>
      <c r="C10" s="47"/>
      <c r="E10" s="33"/>
      <c r="F10" s="33"/>
      <c r="G10" s="33"/>
      <c r="H10" s="33"/>
      <c r="I10" s="33"/>
      <c r="J10" s="33"/>
      <c r="K10" s="33"/>
      <c r="L10" s="33"/>
    </row>
    <row r="11" spans="1:70" x14ac:dyDescent="0.35">
      <c r="E11" s="33"/>
      <c r="F11" s="33"/>
      <c r="G11" s="33"/>
      <c r="H11" s="33"/>
      <c r="I11" s="33"/>
      <c r="J11" s="33"/>
      <c r="K11" s="33"/>
      <c r="L11" s="33"/>
    </row>
    <row r="12" spans="1:70" x14ac:dyDescent="0.35">
      <c r="E12" s="33"/>
      <c r="F12" s="33"/>
      <c r="G12" s="33"/>
      <c r="H12" s="33"/>
      <c r="I12" s="33"/>
      <c r="J12" s="33"/>
      <c r="K12" s="33"/>
      <c r="L12" s="33"/>
    </row>
    <row r="13" spans="1:70" ht="18.5" x14ac:dyDescent="0.35">
      <c r="A13" s="47" t="s">
        <v>97</v>
      </c>
      <c r="B13" s="47"/>
      <c r="C13" s="47"/>
    </row>
    <row r="16" spans="1:70" ht="18.5" x14ac:dyDescent="0.35">
      <c r="A16" s="47" t="s">
        <v>98</v>
      </c>
      <c r="B16" s="47"/>
      <c r="C16" s="47"/>
    </row>
    <row r="19" spans="1:3" ht="18.5" x14ac:dyDescent="0.35">
      <c r="A19" s="47" t="s">
        <v>99</v>
      </c>
      <c r="B19" s="47"/>
      <c r="C19" s="47"/>
    </row>
  </sheetData>
  <mergeCells count="6">
    <mergeCell ref="A19:C19"/>
    <mergeCell ref="E1:BR1"/>
    <mergeCell ref="A7:C7"/>
    <mergeCell ref="A10:C10"/>
    <mergeCell ref="A13:C13"/>
    <mergeCell ref="A16:C16"/>
  </mergeCells>
  <hyperlinks>
    <hyperlink ref="A10:C10" location="'02_OPERACIONAL'!A1" display="Operacional" xr:uid="{C69D8192-3726-4387-BD0A-8D1492D505B6}"/>
    <hyperlink ref="A13:C13" location="'03_DETALHAMENTO'!A1" display="Detalhamento" xr:uid="{15DC45E9-FEAA-43AC-A148-4764F2C38123}"/>
    <hyperlink ref="A16:C16" location="'04_INDICADORES'!A1" display="Indicadores" xr:uid="{12D30668-9631-41A3-982C-7E99051EE3F1}"/>
    <hyperlink ref="A19:C19" location="'05_BASE'!A1" display="Base" xr:uid="{5EFBA070-F0DF-4521-AA08-4B2403C9DF0E}"/>
    <hyperlink ref="A7:C7" location="'01_RESUMO'!A1" display="Resumo" xr:uid="{24AF2F9E-DA56-4442-925E-E6F006012984}"/>
  </hyperlink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D97A"/>
  </sheetPr>
  <dimension ref="A1:BR19"/>
  <sheetViews>
    <sheetView showGridLines="0" showRowColHeaders="0" zoomScale="80" zoomScaleNormal="80" workbookViewId="0">
      <pane ySplit="4" topLeftCell="A5" activePane="bottomLeft" state="frozen"/>
      <selection pane="bottomLeft" activeCell="A19" sqref="A19:C19"/>
    </sheetView>
  </sheetViews>
  <sheetFormatPr defaultRowHeight="14.5" x14ac:dyDescent="0.35"/>
  <cols>
    <col min="1" max="2" width="8.7265625" style="17"/>
    <col min="3" max="3" width="8.7265625" style="15"/>
    <col min="4" max="4" width="3.1796875" customWidth="1"/>
    <col min="5" max="5" width="22" customWidth="1"/>
    <col min="6" max="6" width="37.453125" customWidth="1"/>
    <col min="7" max="7" width="38" customWidth="1"/>
    <col min="8" max="9" width="14" customWidth="1"/>
    <col min="10" max="10" width="60.81640625" customWidth="1"/>
    <col min="11" max="14" width="18" customWidth="1"/>
  </cols>
  <sheetData>
    <row r="1" spans="1:70" ht="23.5" x14ac:dyDescent="0.55000000000000004">
      <c r="E1" s="54" t="s">
        <v>62</v>
      </c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</row>
    <row r="2" spans="1:70" ht="18.5" x14ac:dyDescent="0.45">
      <c r="E2" s="3" t="s">
        <v>53</v>
      </c>
      <c r="F2" s="4"/>
      <c r="G2" s="4"/>
      <c r="H2" s="4"/>
      <c r="I2" s="4"/>
      <c r="J2" s="4"/>
      <c r="K2" s="4"/>
      <c r="L2" s="4"/>
      <c r="M2" s="4"/>
      <c r="N2" s="4"/>
    </row>
    <row r="3" spans="1:70" x14ac:dyDescent="0.35">
      <c r="E3" s="5" t="s">
        <v>1</v>
      </c>
    </row>
    <row r="5" spans="1:70" x14ac:dyDescent="0.35">
      <c r="E5" s="16" t="s">
        <v>4</v>
      </c>
      <c r="F5" s="16" t="s">
        <v>54</v>
      </c>
      <c r="G5" s="16" t="s">
        <v>55</v>
      </c>
      <c r="H5" s="16" t="s">
        <v>56</v>
      </c>
      <c r="I5" s="16" t="s">
        <v>57</v>
      </c>
      <c r="J5" s="16" t="s">
        <v>116</v>
      </c>
    </row>
    <row r="6" spans="1:70" x14ac:dyDescent="0.35">
      <c r="E6" s="34" t="s">
        <v>9</v>
      </c>
      <c r="F6" s="34" t="s">
        <v>58</v>
      </c>
      <c r="G6" s="34" t="s">
        <v>59</v>
      </c>
      <c r="H6" s="34" t="s">
        <v>60</v>
      </c>
      <c r="I6" s="34" t="s">
        <v>61</v>
      </c>
      <c r="J6" s="35" t="s">
        <v>117</v>
      </c>
    </row>
    <row r="7" spans="1:70" ht="18.5" x14ac:dyDescent="0.35">
      <c r="A7" s="47" t="s">
        <v>95</v>
      </c>
      <c r="B7" s="47"/>
      <c r="C7" s="47"/>
      <c r="E7" s="34" t="s">
        <v>10</v>
      </c>
      <c r="F7" s="34" t="s">
        <v>63</v>
      </c>
      <c r="G7" s="34" t="s">
        <v>64</v>
      </c>
      <c r="H7" s="34" t="s">
        <v>60</v>
      </c>
      <c r="I7" s="34" t="s">
        <v>61</v>
      </c>
      <c r="J7" s="35" t="s">
        <v>119</v>
      </c>
    </row>
    <row r="8" spans="1:70" x14ac:dyDescent="0.35">
      <c r="E8" s="34" t="s">
        <v>2</v>
      </c>
      <c r="F8" s="34" t="s">
        <v>65</v>
      </c>
      <c r="G8" s="34" t="s">
        <v>66</v>
      </c>
      <c r="H8" s="34" t="s">
        <v>60</v>
      </c>
      <c r="I8" s="34" t="s">
        <v>61</v>
      </c>
      <c r="J8" s="35" t="s">
        <v>118</v>
      </c>
    </row>
    <row r="9" spans="1:70" x14ac:dyDescent="0.35">
      <c r="E9" s="34" t="s">
        <v>11</v>
      </c>
      <c r="F9" s="34" t="s">
        <v>70</v>
      </c>
      <c r="G9" s="34" t="s">
        <v>71</v>
      </c>
      <c r="H9" s="34" t="s">
        <v>60</v>
      </c>
      <c r="I9" s="34" t="s">
        <v>61</v>
      </c>
      <c r="J9" s="35" t="s">
        <v>120</v>
      </c>
    </row>
    <row r="10" spans="1:70" ht="18.5" x14ac:dyDescent="0.35">
      <c r="A10" s="47" t="s">
        <v>96</v>
      </c>
      <c r="B10" s="47"/>
      <c r="C10" s="47"/>
      <c r="E10" s="34" t="s">
        <v>13</v>
      </c>
      <c r="F10" s="34" t="s">
        <v>109</v>
      </c>
      <c r="G10" s="34" t="s">
        <v>123</v>
      </c>
      <c r="H10" s="34" t="s">
        <v>60</v>
      </c>
      <c r="I10" s="34" t="s">
        <v>61</v>
      </c>
      <c r="J10" s="35" t="s">
        <v>121</v>
      </c>
    </row>
    <row r="11" spans="1:70" x14ac:dyDescent="0.35">
      <c r="E11" s="34" t="s">
        <v>17</v>
      </c>
      <c r="F11" s="34" t="s">
        <v>67</v>
      </c>
      <c r="G11" s="34" t="s">
        <v>68</v>
      </c>
      <c r="H11" s="34" t="s">
        <v>69</v>
      </c>
      <c r="I11" s="34" t="s">
        <v>61</v>
      </c>
      <c r="J11" s="35" t="s">
        <v>15</v>
      </c>
    </row>
    <row r="12" spans="1:70" x14ac:dyDescent="0.35">
      <c r="E12" s="34" t="s">
        <v>108</v>
      </c>
      <c r="F12" s="34" t="s">
        <v>110</v>
      </c>
      <c r="G12" s="34" t="s">
        <v>113</v>
      </c>
      <c r="H12" s="34" t="s">
        <v>69</v>
      </c>
      <c r="I12" s="34" t="s">
        <v>61</v>
      </c>
      <c r="J12" s="35" t="s">
        <v>15</v>
      </c>
    </row>
    <row r="13" spans="1:70" ht="18.5" x14ac:dyDescent="0.35">
      <c r="A13" s="47" t="s">
        <v>97</v>
      </c>
      <c r="B13" s="47"/>
      <c r="C13" s="47"/>
      <c r="E13" s="34" t="s">
        <v>23</v>
      </c>
      <c r="F13" s="34" t="s">
        <v>72</v>
      </c>
      <c r="G13" s="34" t="s">
        <v>73</v>
      </c>
      <c r="H13" s="34" t="s">
        <v>69</v>
      </c>
      <c r="I13" s="34" t="s">
        <v>61</v>
      </c>
      <c r="J13" s="35" t="s">
        <v>15</v>
      </c>
    </row>
    <row r="14" spans="1:70" x14ac:dyDescent="0.35">
      <c r="E14" s="34" t="s">
        <v>107</v>
      </c>
      <c r="F14" s="34" t="s">
        <v>111</v>
      </c>
      <c r="G14" s="34" t="s">
        <v>114</v>
      </c>
      <c r="H14" s="34" t="s">
        <v>69</v>
      </c>
      <c r="I14" s="34" t="s">
        <v>61</v>
      </c>
      <c r="J14" s="35" t="s">
        <v>15</v>
      </c>
    </row>
    <row r="15" spans="1:70" x14ac:dyDescent="0.35">
      <c r="E15" s="34" t="s">
        <v>24</v>
      </c>
      <c r="F15" s="34" t="s">
        <v>74</v>
      </c>
      <c r="G15" s="34" t="s">
        <v>75</v>
      </c>
      <c r="H15" s="34" t="s">
        <v>76</v>
      </c>
      <c r="I15" s="34" t="s">
        <v>61</v>
      </c>
      <c r="J15" s="35" t="s">
        <v>122</v>
      </c>
    </row>
    <row r="16" spans="1:70" ht="18.5" x14ac:dyDescent="0.35">
      <c r="A16" s="47" t="s">
        <v>98</v>
      </c>
      <c r="B16" s="47"/>
      <c r="C16" s="47"/>
      <c r="E16" s="34" t="s">
        <v>36</v>
      </c>
      <c r="F16" s="34" t="s">
        <v>112</v>
      </c>
      <c r="G16" s="34" t="s">
        <v>115</v>
      </c>
      <c r="H16" s="34" t="s">
        <v>76</v>
      </c>
      <c r="I16" s="34" t="s">
        <v>61</v>
      </c>
      <c r="J16" s="35" t="s">
        <v>122</v>
      </c>
    </row>
    <row r="19" spans="1:3" ht="18.5" x14ac:dyDescent="0.35">
      <c r="A19" s="47" t="s">
        <v>99</v>
      </c>
      <c r="B19" s="47"/>
      <c r="C19" s="47"/>
    </row>
  </sheetData>
  <mergeCells count="6">
    <mergeCell ref="A19:C19"/>
    <mergeCell ref="E1:BR1"/>
    <mergeCell ref="A7:C7"/>
    <mergeCell ref="A10:C10"/>
    <mergeCell ref="A13:C13"/>
    <mergeCell ref="A16:C16"/>
  </mergeCells>
  <hyperlinks>
    <hyperlink ref="A10:C10" location="'02_OPERACIONAL'!A1" display="Operacional" xr:uid="{AEDE9591-CA67-48EB-8262-8AF6307FD7AB}"/>
    <hyperlink ref="A13:C13" location="'03_DETALHAMENTO'!A1" display="Detalhamento" xr:uid="{4FB84D73-8108-42DC-968F-4D0CDDDFC498}"/>
    <hyperlink ref="A16:C16" location="'04_INDICADORES'!A1" display="Indicadores" xr:uid="{702D4FB5-5B51-4AE9-99F8-B54768B7C543}"/>
    <hyperlink ref="A19:C19" location="'05_BASE'!A1" display="Base" xr:uid="{63BFE226-6E7F-4EB5-BA2C-43570677BAF5}"/>
    <hyperlink ref="A7:C7" location="'01_RESUMO'!A1" display="Resumo" xr:uid="{54BE9593-E91D-4873-88A1-C9861C3F7965}"/>
  </hyperlink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D97A"/>
  </sheetPr>
  <dimension ref="A1:BR19"/>
  <sheetViews>
    <sheetView showGridLines="0" showRowColHeaders="0" zoomScale="80" zoomScaleNormal="80" workbookViewId="0">
      <pane ySplit="4" topLeftCell="A5" activePane="bottomLeft" state="frozen"/>
      <selection pane="bottomLeft" activeCell="A7" sqref="A7:C7"/>
    </sheetView>
  </sheetViews>
  <sheetFormatPr defaultRowHeight="14.5" x14ac:dyDescent="0.35"/>
  <cols>
    <col min="1" max="2" width="8.7265625" style="17"/>
    <col min="3" max="3" width="8.7265625" style="15"/>
    <col min="4" max="4" width="3.1796875" customWidth="1"/>
    <col min="5" max="9" width="18" customWidth="1"/>
    <col min="10" max="10" width="21.6328125" bestFit="1" customWidth="1"/>
    <col min="11" max="14" width="18" customWidth="1"/>
  </cols>
  <sheetData>
    <row r="1" spans="1:70" ht="23.5" x14ac:dyDescent="0.55000000000000004">
      <c r="E1" s="54" t="s">
        <v>62</v>
      </c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</row>
    <row r="2" spans="1:70" ht="18.5" x14ac:dyDescent="0.45">
      <c r="E2" s="3" t="s">
        <v>77</v>
      </c>
      <c r="F2" s="4"/>
      <c r="G2" s="4"/>
      <c r="H2" s="4"/>
      <c r="I2" s="4"/>
      <c r="J2" s="4"/>
      <c r="K2" s="4"/>
      <c r="L2" s="4"/>
      <c r="M2" s="4"/>
      <c r="N2" s="4"/>
    </row>
    <row r="3" spans="1:70" x14ac:dyDescent="0.35">
      <c r="E3" s="5" t="s">
        <v>1</v>
      </c>
    </row>
    <row r="5" spans="1:70" x14ac:dyDescent="0.35">
      <c r="E5" s="16" t="s">
        <v>30</v>
      </c>
      <c r="F5" s="16" t="s">
        <v>8</v>
      </c>
      <c r="G5" s="16" t="s">
        <v>31</v>
      </c>
      <c r="H5" s="16" t="s">
        <v>32</v>
      </c>
      <c r="I5" s="16" t="s">
        <v>33</v>
      </c>
      <c r="J5" s="16" t="s">
        <v>34</v>
      </c>
      <c r="K5" s="16" t="s">
        <v>78</v>
      </c>
      <c r="L5" s="16" t="s">
        <v>24</v>
      </c>
      <c r="M5" s="16" t="s">
        <v>36</v>
      </c>
    </row>
    <row r="6" spans="1:70" x14ac:dyDescent="0.35">
      <c r="E6" s="19" t="s">
        <v>37</v>
      </c>
      <c r="F6" s="19" t="s">
        <v>12</v>
      </c>
      <c r="G6" s="19" t="s">
        <v>38</v>
      </c>
      <c r="H6" s="19" t="s">
        <v>39</v>
      </c>
      <c r="I6" s="19" t="s">
        <v>40</v>
      </c>
      <c r="J6" s="19" t="s">
        <v>41</v>
      </c>
      <c r="K6" s="19">
        <v>10</v>
      </c>
      <c r="L6" s="19" t="s">
        <v>25</v>
      </c>
      <c r="M6" s="19" t="s">
        <v>42</v>
      </c>
    </row>
    <row r="7" spans="1:70" ht="18.5" x14ac:dyDescent="0.35">
      <c r="A7" s="47" t="s">
        <v>95</v>
      </c>
      <c r="B7" s="47"/>
      <c r="C7" s="47"/>
      <c r="E7" s="19" t="s">
        <v>37</v>
      </c>
      <c r="F7" s="19" t="s">
        <v>12</v>
      </c>
      <c r="G7" s="19" t="s">
        <v>43</v>
      </c>
      <c r="H7" s="19" t="s">
        <v>44</v>
      </c>
      <c r="I7" s="19" t="s">
        <v>40</v>
      </c>
      <c r="J7" s="19" t="s">
        <v>45</v>
      </c>
      <c r="K7" s="19">
        <v>8</v>
      </c>
      <c r="L7" s="19" t="s">
        <v>46</v>
      </c>
      <c r="M7" s="19" t="s">
        <v>47</v>
      </c>
    </row>
    <row r="8" spans="1:70" x14ac:dyDescent="0.35">
      <c r="E8" s="19" t="s">
        <v>37</v>
      </c>
      <c r="F8" s="19" t="s">
        <v>14</v>
      </c>
      <c r="G8" s="19" t="s">
        <v>48</v>
      </c>
      <c r="H8" s="19" t="s">
        <v>49</v>
      </c>
      <c r="I8" s="19" t="s">
        <v>40</v>
      </c>
      <c r="J8" s="19" t="s">
        <v>50</v>
      </c>
      <c r="K8" s="19">
        <v>12</v>
      </c>
      <c r="L8" s="19" t="s">
        <v>51</v>
      </c>
      <c r="M8" s="19" t="s">
        <v>52</v>
      </c>
    </row>
    <row r="10" spans="1:70" ht="18.5" x14ac:dyDescent="0.35">
      <c r="A10" s="47" t="s">
        <v>96</v>
      </c>
      <c r="B10" s="47"/>
      <c r="C10" s="47"/>
    </row>
    <row r="13" spans="1:70" ht="18.5" x14ac:dyDescent="0.35">
      <c r="A13" s="47" t="s">
        <v>97</v>
      </c>
      <c r="B13" s="47"/>
      <c r="C13" s="47"/>
    </row>
    <row r="16" spans="1:70" ht="18.5" x14ac:dyDescent="0.35">
      <c r="A16" s="47" t="s">
        <v>98</v>
      </c>
      <c r="B16" s="47"/>
      <c r="C16" s="47"/>
    </row>
    <row r="19" spans="1:3" ht="18.5" x14ac:dyDescent="0.35">
      <c r="A19" s="47" t="s">
        <v>99</v>
      </c>
      <c r="B19" s="47"/>
      <c r="C19" s="47"/>
    </row>
  </sheetData>
  <mergeCells count="6">
    <mergeCell ref="A19:C19"/>
    <mergeCell ref="E1:BR1"/>
    <mergeCell ref="A7:C7"/>
    <mergeCell ref="A10:C10"/>
    <mergeCell ref="A13:C13"/>
    <mergeCell ref="A16:C16"/>
  </mergeCells>
  <hyperlinks>
    <hyperlink ref="A10:C10" location="'02_OPERACIONAL'!A1" display="Operacional" xr:uid="{0A413A57-F100-4347-9859-B751E33FE2A4}"/>
    <hyperlink ref="A13:C13" location="'03_DETALHAMENTO'!A1" display="Detalhamento" xr:uid="{93A6A618-187B-4448-ACDC-309935335293}"/>
    <hyperlink ref="A16:C16" location="'04_INDICADORES'!A1" display="Indicadores" xr:uid="{B7869FAE-CAB7-4F5F-A765-E8B35C178E75}"/>
    <hyperlink ref="A19:C19" location="'05_BASE'!A1" display="Base" xr:uid="{803FDA1D-7952-48FF-B48D-07050BCDF5C1}"/>
    <hyperlink ref="A7:C7" location="'01_RESUMO'!A1" display="Resumo" xr:uid="{D20DC03A-0EF6-42E4-A37B-D25E81960F4E}"/>
  </hyperlinks>
  <pageMargins left="0.75" right="0.75" top="1" bottom="1" header="0.5" footer="0.5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D97A"/>
  </sheetPr>
  <dimension ref="A1:J12"/>
  <sheetViews>
    <sheetView showGridLines="0" zoomScale="90" workbookViewId="0">
      <pane ySplit="4" topLeftCell="A5" activePane="bottomLeft" state="frozen"/>
      <selection pane="bottomLeft" activeCell="B6" sqref="B6"/>
    </sheetView>
  </sheetViews>
  <sheetFormatPr defaultRowHeight="14.5" x14ac:dyDescent="0.35"/>
  <cols>
    <col min="1" max="1" width="28" customWidth="1"/>
    <col min="2" max="2" width="35" customWidth="1"/>
    <col min="3" max="10" width="18" customWidth="1"/>
  </cols>
  <sheetData>
    <row r="1" spans="1:10" ht="23.5" x14ac:dyDescent="0.5500000000000000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18.5" x14ac:dyDescent="0.45">
      <c r="A2" s="3" t="s">
        <v>79</v>
      </c>
      <c r="B2" s="4"/>
      <c r="C2" s="4"/>
      <c r="D2" s="4"/>
      <c r="E2" s="4"/>
      <c r="F2" s="4"/>
      <c r="G2" s="4"/>
      <c r="H2" s="4"/>
      <c r="I2" s="4"/>
      <c r="J2" s="4"/>
    </row>
    <row r="3" spans="1:10" x14ac:dyDescent="0.35">
      <c r="A3" s="5" t="s">
        <v>1</v>
      </c>
    </row>
    <row r="5" spans="1:10" x14ac:dyDescent="0.35">
      <c r="A5" s="11" t="s">
        <v>80</v>
      </c>
      <c r="B5" s="11" t="s">
        <v>81</v>
      </c>
    </row>
    <row r="6" spans="1:10" x14ac:dyDescent="0.35">
      <c r="A6" s="10" t="s">
        <v>82</v>
      </c>
      <c r="B6" s="10" t="s">
        <v>83</v>
      </c>
    </row>
    <row r="7" spans="1:10" x14ac:dyDescent="0.35">
      <c r="A7" s="10" t="s">
        <v>84</v>
      </c>
      <c r="B7" s="10" t="s">
        <v>85</v>
      </c>
    </row>
    <row r="8" spans="1:10" x14ac:dyDescent="0.35">
      <c r="A8" s="10" t="s">
        <v>86</v>
      </c>
      <c r="B8" s="10" t="s">
        <v>87</v>
      </c>
    </row>
    <row r="9" spans="1:10" x14ac:dyDescent="0.35">
      <c r="A9" s="10" t="s">
        <v>88</v>
      </c>
      <c r="B9" s="10" t="s">
        <v>37</v>
      </c>
    </row>
    <row r="10" spans="1:10" x14ac:dyDescent="0.35">
      <c r="A10" s="10" t="s">
        <v>89</v>
      </c>
      <c r="B10" s="10" t="s">
        <v>90</v>
      </c>
    </row>
    <row r="11" spans="1:10" x14ac:dyDescent="0.35">
      <c r="A11" s="10" t="s">
        <v>91</v>
      </c>
      <c r="B11" s="10" t="s">
        <v>92</v>
      </c>
    </row>
    <row r="12" spans="1:10" x14ac:dyDescent="0.35">
      <c r="A12" s="10" t="s">
        <v>93</v>
      </c>
      <c r="B12" s="10" t="s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01_RESUMO</vt:lpstr>
      <vt:lpstr>02_OPERACIONAL</vt:lpstr>
      <vt:lpstr>03_DETALHAMENTO</vt:lpstr>
      <vt:lpstr>04_INDICADORES</vt:lpstr>
      <vt:lpstr>05_BASE</vt:lpstr>
      <vt:lpstr>00_CONFIG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Evelim Jaqueline Milano Esquetini</cp:lastModifiedBy>
  <dcterms:created xsi:type="dcterms:W3CDTF">2026-09-03T18:53:28Z</dcterms:created>
  <dcterms:modified xsi:type="dcterms:W3CDTF">2026-09-23T16:14:30Z</dcterms:modified>
</cp:coreProperties>
</file>