
<file path=[Content_Types].xml><?xml version="1.0" encoding="utf-8"?>
<Types xmlns="http://schemas.openxmlformats.org/package/2006/content-types"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elim.esquetini\Desktop\Projetos\Projeto MIS\"/>
    </mc:Choice>
  </mc:AlternateContent>
  <xr:revisionPtr revIDLastSave="0" documentId="13_ncr:1_{D8B816A3-8515-4EE2-B111-ED2992290547}" xr6:coauthVersionLast="47" xr6:coauthVersionMax="47" xr10:uidLastSave="{00000000-0000-0000-0000-000000000000}"/>
  <bookViews>
    <workbookView xWindow="-28920" yWindow="-120" windowWidth="29040" windowHeight="15720" tabRatio="0" xr2:uid="{00000000-000D-0000-FFFF-FFFF00000000}"/>
  </bookViews>
  <sheets>
    <sheet name="01_RESUMO" sheetId="1" r:id="rId1"/>
    <sheet name="02_OPERACIONAL" sheetId="2" r:id="rId2"/>
    <sheet name="03_DETALHAMENTO" sheetId="3" r:id="rId3"/>
    <sheet name="04_INDICADORES" sheetId="4" r:id="rId4"/>
    <sheet name="05_BASE" sheetId="5" r:id="rId5"/>
    <sheet name="00_CONFIG" sheetId="6" r:id="rId6"/>
  </sheets>
  <calcPr calcId="181029"/>
</workbook>
</file>

<file path=xl/calcChain.xml><?xml version="1.0" encoding="utf-8"?>
<calcChain xmlns="http://schemas.openxmlformats.org/spreadsheetml/2006/main">
  <c r="P7" i="2" l="1"/>
  <c r="P8" i="2"/>
  <c r="P9" i="2"/>
  <c r="P10" i="2"/>
  <c r="P11" i="2"/>
  <c r="P12" i="2"/>
  <c r="P13" i="2"/>
  <c r="P14" i="2"/>
  <c r="P15" i="2"/>
  <c r="P16" i="2"/>
  <c r="P6" i="2"/>
  <c r="O17" i="2"/>
  <c r="H40" i="2"/>
  <c r="K17" i="2"/>
  <c r="K7" i="2"/>
  <c r="K8" i="2"/>
  <c r="K9" i="2"/>
  <c r="K10" i="2"/>
  <c r="K11" i="2"/>
  <c r="K12" i="2"/>
  <c r="K13" i="2"/>
  <c r="K14" i="2"/>
  <c r="K15" i="2"/>
  <c r="K16" i="2"/>
  <c r="J7" i="2"/>
  <c r="J8" i="2"/>
  <c r="J9" i="2"/>
  <c r="J10" i="2"/>
  <c r="J11" i="2"/>
  <c r="J12" i="2"/>
  <c r="J13" i="2"/>
  <c r="J14" i="2"/>
  <c r="J15" i="2"/>
  <c r="J16" i="2"/>
  <c r="J6" i="2"/>
  <c r="K6" i="2" s="1"/>
  <c r="M7" i="2"/>
  <c r="M8" i="2"/>
  <c r="M9" i="2"/>
  <c r="M10" i="2"/>
  <c r="M11" i="2"/>
  <c r="M12" i="2"/>
  <c r="M13" i="2"/>
  <c r="M14" i="2"/>
  <c r="M15" i="2"/>
  <c r="M16" i="2"/>
  <c r="M6" i="2"/>
  <c r="L7" i="2"/>
  <c r="L8" i="2"/>
  <c r="L9" i="2"/>
  <c r="L10" i="2"/>
  <c r="L11" i="2"/>
  <c r="L12" i="2"/>
  <c r="L13" i="2"/>
  <c r="L14" i="2"/>
  <c r="L15" i="2"/>
  <c r="L16" i="2"/>
  <c r="L6" i="2"/>
  <c r="G40" i="1"/>
  <c r="Q35" i="1" s="1"/>
  <c r="J39" i="2"/>
  <c r="R17" i="1"/>
  <c r="Q4" i="1"/>
  <c r="L3" i="1"/>
  <c r="I3" i="1"/>
  <c r="G3" i="1"/>
  <c r="G17" i="2"/>
  <c r="H17" i="2"/>
  <c r="I17" i="2"/>
  <c r="F17" i="2"/>
  <c r="F40" i="2" l="1"/>
  <c r="N17" i="1" s="1"/>
  <c r="J17" i="2"/>
  <c r="M17" i="2"/>
  <c r="L17" i="2"/>
  <c r="G40" i="2" s="1"/>
  <c r="P17" i="1" s="1"/>
  <c r="N17" i="2"/>
  <c r="I40" i="2" s="1"/>
  <c r="T17" i="1" s="1"/>
  <c r="J40" i="2" l="1"/>
</calcChain>
</file>

<file path=xl/sharedStrings.xml><?xml version="1.0" encoding="utf-8"?>
<sst xmlns="http://schemas.openxmlformats.org/spreadsheetml/2006/main" count="209" uniqueCount="129">
  <si>
    <t>DBM | MIS</t>
  </si>
  <si>
    <t>Cliente: Banco X   |   Operação: Cobrança   |   Período: 01/09/2026 a 03/09/2026</t>
  </si>
  <si>
    <t>INDICADORES</t>
  </si>
  <si>
    <t>Indicador</t>
  </si>
  <si>
    <t>Resultado</t>
  </si>
  <si>
    <t>Meta</t>
  </si>
  <si>
    <t>Atingimento</t>
  </si>
  <si>
    <t>Hora</t>
  </si>
  <si>
    <t>Alô</t>
  </si>
  <si>
    <t>08h</t>
  </si>
  <si>
    <t>09h</t>
  </si>
  <si>
    <t>10h</t>
  </si>
  <si>
    <t>11h</t>
  </si>
  <si>
    <t>12h</t>
  </si>
  <si>
    <t>13h</t>
  </si>
  <si>
    <t>ACOMPANHAMENTO OPERACIONAL</t>
  </si>
  <si>
    <t>TMA</t>
  </si>
  <si>
    <t>00:02:31</t>
  </si>
  <si>
    <t>00:03:02</t>
  </si>
  <si>
    <t>DETALHAMENTO OPERACIONAL</t>
  </si>
  <si>
    <t>Data</t>
  </si>
  <si>
    <t>Operador</t>
  </si>
  <si>
    <t>Equipe</t>
  </si>
  <si>
    <t>Tabulação</t>
  </si>
  <si>
    <t>Subtabulação</t>
  </si>
  <si>
    <t>TME</t>
  </si>
  <si>
    <t>03/09/2026</t>
  </si>
  <si>
    <t>Operador A</t>
  </si>
  <si>
    <t>Equipe 01</t>
  </si>
  <si>
    <t>SUCESSO</t>
  </si>
  <si>
    <t>00:00:12</t>
  </si>
  <si>
    <t>Operador B</t>
  </si>
  <si>
    <t>Equipe 02</t>
  </si>
  <si>
    <t>00:03:04</t>
  </si>
  <si>
    <t>00:00:18</t>
  </si>
  <si>
    <t>Operador C</t>
  </si>
  <si>
    <t>Equipe 03</t>
  </si>
  <si>
    <t>00:02:45</t>
  </si>
  <si>
    <t>00:00:15</t>
  </si>
  <si>
    <t>DICIONÁRIO DE INDICADORES</t>
  </si>
  <si>
    <t>Definição</t>
  </si>
  <si>
    <t>Fórmula / Regra</t>
  </si>
  <si>
    <t>Unidade</t>
  </si>
  <si>
    <t>Fonte</t>
  </si>
  <si>
    <t>Soma de Qtde</t>
  </si>
  <si>
    <t>Volume</t>
  </si>
  <si>
    <t>SQL</t>
  </si>
  <si>
    <t>MIS</t>
  </si>
  <si>
    <t>Contato efetivo</t>
  </si>
  <si>
    <t>Regra de Alô homologada</t>
  </si>
  <si>
    <t>%</t>
  </si>
  <si>
    <t>Tempo médio de atendimento</t>
  </si>
  <si>
    <t>Média do tempo de atendimento</t>
  </si>
  <si>
    <t>Tempo</t>
  </si>
  <si>
    <t>BASE | DADOS TÉCNICOS</t>
  </si>
  <si>
    <t>Qtde</t>
  </si>
  <si>
    <t>CONFIGURAÇÃO | USO INTERNO MIS</t>
  </si>
  <si>
    <t>Campo</t>
  </si>
  <si>
    <t>Valor</t>
  </si>
  <si>
    <t>Cliente</t>
  </si>
  <si>
    <t>Banco X</t>
  </si>
  <si>
    <t>Operação</t>
  </si>
  <si>
    <t>Período Inicial</t>
  </si>
  <si>
    <t>01/09/2026</t>
  </si>
  <si>
    <t>Período Final</t>
  </si>
  <si>
    <t>Responsável MIS</t>
  </si>
  <si>
    <t>Nome do Analista</t>
  </si>
  <si>
    <t>Versão</t>
  </si>
  <si>
    <t>v1.0</t>
  </si>
  <si>
    <t>Última Atualização</t>
  </si>
  <si>
    <t>Resumo</t>
  </si>
  <si>
    <t>Operacional</t>
  </si>
  <si>
    <t>Detalhamento</t>
  </si>
  <si>
    <t>Indicadores</t>
  </si>
  <si>
    <t>Base</t>
  </si>
  <si>
    <t>Data da Extração</t>
  </si>
  <si>
    <t>14h</t>
  </si>
  <si>
    <t>15h</t>
  </si>
  <si>
    <t>16h</t>
  </si>
  <si>
    <t>17h</t>
  </si>
  <si>
    <t>18h</t>
  </si>
  <si>
    <t>TOTAL</t>
  </si>
  <si>
    <t>Tempo médio de espera</t>
  </si>
  <si>
    <t>Média Espera</t>
  </si>
  <si>
    <t>Observações</t>
  </si>
  <si>
    <t>Formato hh:mm:ss</t>
  </si>
  <si>
    <t>Cliente:</t>
  </si>
  <si>
    <t>RELATÓRIO</t>
  </si>
  <si>
    <t>Operação:</t>
  </si>
  <si>
    <t>Período:</t>
  </si>
  <si>
    <t>OPERACIONAL</t>
  </si>
  <si>
    <t>Realizado</t>
  </si>
  <si>
    <t>% Atingimento</t>
  </si>
  <si>
    <t>Meta%</t>
  </si>
  <si>
    <t>SAC / Receptivo</t>
  </si>
  <si>
    <t>Recebidas</t>
  </si>
  <si>
    <t>Abandonadas</t>
  </si>
  <si>
    <t>% Retenção URA</t>
  </si>
  <si>
    <t>% Abandono</t>
  </si>
  <si>
    <t>% FCR</t>
  </si>
  <si>
    <t>% CSAT / AHT (Satisfação)</t>
  </si>
  <si>
    <t>FCR</t>
  </si>
  <si>
    <t>Retenção</t>
  </si>
  <si>
    <t>TAXAS DE ATENDIMENTO</t>
  </si>
  <si>
    <t>Atendidas</t>
  </si>
  <si>
    <t>ALÔ X FCR</t>
  </si>
  <si>
    <t>Cliente: Banco X   |   Operação: SAC / Receptivo   |   Período: 01/09/2026 a 03/09/2026</t>
  </si>
  <si>
    <t>Cliente: Banco X   |   Operação: SAC / Receptivo  |   Período: 01/09/2026 a 03/09/2026</t>
  </si>
  <si>
    <t>Motivo do Contato</t>
  </si>
  <si>
    <t>CSAT Nota</t>
  </si>
  <si>
    <t>Dúvidas de Fatura / Boletos</t>
  </si>
  <si>
    <t>Reclamação de Sinal / Serviço</t>
  </si>
  <si>
    <t>Solicitação de Cancelamento</t>
  </si>
  <si>
    <t>Alteração Cadastral</t>
  </si>
  <si>
    <t>Total de chamadas que entraram na URA/Fila.</t>
  </si>
  <si>
    <t>Volume de chamadas efetivamente atendidas por operadores.</t>
  </si>
  <si>
    <t>Inclui todas as chamadas recebidas válidas</t>
  </si>
  <si>
    <t>Chamadas que desligaram antes de falar com o operador.</t>
  </si>
  <si>
    <t>Status Abandono</t>
  </si>
  <si>
    <t>Volume de chamadas com status de Abandono</t>
  </si>
  <si>
    <t>FCR (First Contact Resolution)</t>
  </si>
  <si>
    <t>NÍVEL DE SERVIÇO (NS %)</t>
  </si>
  <si>
    <t>Resolvidas / Atendidas</t>
  </si>
  <si>
    <t xml:space="preserve">Atendimentos resolvidos no 1º contato </t>
  </si>
  <si>
    <t>Sem rechamada em X dias.</t>
  </si>
  <si>
    <t>% de chamadas atendidas dentro do tempo limite</t>
  </si>
  <si>
    <t xml:space="preserve"> (ex: 80% em até 20s).</t>
  </si>
  <si>
    <t>Dúvidas de Fatura</t>
  </si>
  <si>
    <t>Reclamação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</si>
</sst>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04503F"/>
      <name val="Calibri"/>
    </font>
    <font>
      <sz val="10"/>
      <color rgb="FF666666"/>
      <name val="Calibri"/>
    </font>
    <font>
      <b/>
      <sz val="12"/>
      <color rgb="FF04503F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6" tint="0.79998168889431442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rgb="FF04503F"/>
      <name val="Calibri"/>
      <family val="2"/>
    </font>
    <font>
      <sz val="10"/>
      <color rgb="FF666666"/>
      <name val="Calibri"/>
      <family val="2"/>
    </font>
    <font>
      <b/>
      <sz val="10"/>
      <color rgb="FF666666"/>
      <name val="Calibri"/>
      <family val="2"/>
    </font>
    <font>
      <b/>
      <sz val="11"/>
      <color rgb="FF666666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A4A48"/>
      <name val="Calibri"/>
      <family val="2"/>
      <scheme val="minor"/>
    </font>
    <font>
      <b/>
      <sz val="10"/>
      <color rgb="FF0A4A48"/>
      <name val="Calibri"/>
      <family val="2"/>
    </font>
    <font>
      <b/>
      <sz val="12"/>
      <color rgb="FF04503F"/>
      <name val="Calibri"/>
      <family val="2"/>
    </font>
    <font>
      <b/>
      <sz val="24"/>
      <color rgb="FF0A4A48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4503F"/>
      </patternFill>
    </fill>
    <fill>
      <patternFill patternType="solid">
        <fgColor rgb="FFFFFFFF"/>
      </patternFill>
    </fill>
    <fill>
      <patternFill patternType="solid">
        <fgColor rgb="FF02754F"/>
      </patternFill>
    </fill>
    <fill>
      <patternFill patternType="solid">
        <fgColor rgb="FF0A4A48"/>
        <bgColor indexed="64"/>
      </patternFill>
    </fill>
    <fill>
      <patternFill patternType="solid">
        <fgColor rgb="FF06705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1" fillId="5" borderId="0" xfId="0" applyFont="1" applyFill="1"/>
    <xf numFmtId="0" fontId="1" fillId="5" borderId="0" xfId="0" applyFont="1" applyFill="1"/>
    <xf numFmtId="0" fontId="12" fillId="3" borderId="0" xfId="0" applyFont="1" applyFill="1" applyAlignment="1">
      <alignment vertical="center"/>
    </xf>
    <xf numFmtId="0" fontId="13" fillId="0" borderId="0" xfId="0" applyFont="1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5" fillId="5" borderId="0" xfId="0" applyNumberFormat="1" applyFont="1" applyFill="1" applyAlignment="1">
      <alignment horizontal="center"/>
    </xf>
    <xf numFmtId="10" fontId="5" fillId="5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9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6" fillId="3" borderId="0" xfId="0" applyFont="1" applyFill="1"/>
    <xf numFmtId="0" fontId="14" fillId="0" borderId="0" xfId="0" applyFont="1" applyAlignment="1">
      <alignment horizontal="right"/>
    </xf>
    <xf numFmtId="0" fontId="12" fillId="3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10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22" fillId="0" borderId="0" xfId="0" applyFont="1" applyAlignment="1">
      <alignment horizontal="center"/>
    </xf>
    <xf numFmtId="10" fontId="7" fillId="0" borderId="0" xfId="0" applyNumberFormat="1" applyFont="1"/>
    <xf numFmtId="10" fontId="2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10" fontId="18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22" fontId="15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23" fillId="0" borderId="0" xfId="0" applyFont="1"/>
    <xf numFmtId="0" fontId="24" fillId="5" borderId="0" xfId="0" applyFont="1" applyFill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22" fontId="0" fillId="0" borderId="1" xfId="0" applyNumberFormat="1" applyBorder="1"/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A4A4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A4A48"/>
      <color rgb="FF067059"/>
      <color rgb="FF04503F"/>
      <color rgb="FF409A6F"/>
      <color rgb="FF52B788"/>
      <color rgb="FF38EF7D"/>
      <color rgb="FF2EC4B6"/>
      <color rgb="FF0F5351"/>
      <color rgb="FF078B6F"/>
      <color rgb="FF09B3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Recebidas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200</c:v>
                </c:pt>
                <c:pt idx="1">
                  <c:v>722</c:v>
                </c:pt>
                <c:pt idx="2">
                  <c:v>900</c:v>
                </c:pt>
                <c:pt idx="3">
                  <c:v>1300</c:v>
                </c:pt>
                <c:pt idx="4">
                  <c:v>1820</c:v>
                </c:pt>
                <c:pt idx="5">
                  <c:v>1750</c:v>
                </c:pt>
                <c:pt idx="6">
                  <c:v>1820</c:v>
                </c:pt>
                <c:pt idx="7">
                  <c:v>1740</c:v>
                </c:pt>
                <c:pt idx="8">
                  <c:v>1100</c:v>
                </c:pt>
                <c:pt idx="9">
                  <c:v>941</c:v>
                </c:pt>
                <c:pt idx="10">
                  <c:v>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9E-438E-9FF1-EFBE37E887BA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9E-438E-9FF1-EFBE37E887BA}"/>
            </c:ext>
          </c:extLst>
        </c:ser>
        <c:ser>
          <c:idx val="2"/>
          <c:order val="2"/>
          <c:tx>
            <c:strRef>
              <c:f>'02_OPERACIONAL'!$H$5</c:f>
              <c:strCache>
                <c:ptCount val="1"/>
                <c:pt idx="0">
                  <c:v>Abandonadas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'02_OPERACIONAL'!$H$6:$H$16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9E-438E-9FF1-EFBE37E887BA}"/>
            </c:ext>
          </c:extLst>
        </c:ser>
        <c:ser>
          <c:idx val="3"/>
          <c:order val="3"/>
          <c:tx>
            <c:strRef>
              <c:f>'02_OPERACIONAL'!$I$5</c:f>
              <c:strCache>
                <c:ptCount val="1"/>
                <c:pt idx="0">
                  <c:v>FCR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9525" cap="flat" cmpd="sng" algn="ctr">
                <a:solidFill>
                  <a:schemeClr val="accent3">
                    <a:tint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'02_OPERACIONAL'!$I$6:$I$16</c:f>
              <c:numCache>
                <c:formatCode>#,##0</c:formatCode>
                <c:ptCount val="11"/>
                <c:pt idx="0">
                  <c:v>160</c:v>
                </c:pt>
                <c:pt idx="1">
                  <c:v>588</c:v>
                </c:pt>
                <c:pt idx="2">
                  <c:v>790</c:v>
                </c:pt>
                <c:pt idx="3">
                  <c:v>1112</c:v>
                </c:pt>
                <c:pt idx="4">
                  <c:v>1425</c:v>
                </c:pt>
                <c:pt idx="5">
                  <c:v>1601</c:v>
                </c:pt>
                <c:pt idx="6">
                  <c:v>1499</c:v>
                </c:pt>
                <c:pt idx="7">
                  <c:v>1358</c:v>
                </c:pt>
                <c:pt idx="8">
                  <c:v>1001</c:v>
                </c:pt>
                <c:pt idx="9">
                  <c:v>723</c:v>
                </c:pt>
                <c:pt idx="10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9E-438E-9FF1-EFBE37E887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'02_OPERACIONAL'!$F$38</c:f>
              <c:strCache>
                <c:ptCount val="1"/>
                <c:pt idx="0">
                  <c:v>% Retenção URA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F6-4BE8-B8E3-D198B599AD0F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F-4BDC-B903-36DBE172001D}"/>
              </c:ext>
            </c:extLst>
          </c:dPt>
          <c:cat>
            <c:strRef>
              <c:f>'02_OPERACIONAL'!$E$39:$E$40</c:f>
              <c:strCache>
                <c:ptCount val="2"/>
                <c:pt idx="0">
                  <c:v>Meta</c:v>
                </c:pt>
                <c:pt idx="1">
                  <c:v>Realizado</c:v>
                </c:pt>
              </c:strCache>
            </c:strRef>
          </c:cat>
          <c:val>
            <c:numRef>
              <c:f>'02_OPERACIONAL'!$F$39:$F$40</c:f>
              <c:numCache>
                <c:formatCode>0.00%</c:formatCode>
                <c:ptCount val="2"/>
                <c:pt idx="0">
                  <c:v>0.99</c:v>
                </c:pt>
                <c:pt idx="1">
                  <c:v>0.96254673359280263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F6-4BE8-B8E3-D198B599A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'02_OPERACIONAL'!$G$38</c:f>
              <c:strCache>
                <c:ptCount val="1"/>
                <c:pt idx="0">
                  <c:v>% Abandono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B-4697-BB0C-020B475EEC62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B-4697-BB0C-020B475EEC62}"/>
              </c:ext>
            </c:extLst>
          </c:dPt>
          <c:val>
            <c:numRef>
              <c:f>'02_OPERACIONAL'!$G$39:$G$40</c:f>
              <c:numCache>
                <c:formatCode>0.00%</c:formatCode>
                <c:ptCount val="2"/>
                <c:pt idx="0">
                  <c:v>0.1</c:v>
                </c:pt>
                <c:pt idx="1">
                  <c:v>0.2076745987373492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B-4697-BB0C-020B475E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'02_OPERACIONAL'!$H$38</c:f>
              <c:strCache>
                <c:ptCount val="1"/>
                <c:pt idx="0">
                  <c:v>% FCR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5-4AD0-8C3E-FC92C8B92237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5-4AD0-8C3E-FC92C8B92237}"/>
              </c:ext>
            </c:extLst>
          </c:dPt>
          <c:val>
            <c:numRef>
              <c:f>'02_OPERACIONAL'!$H$39:$H$40</c:f>
              <c:numCache>
                <c:formatCode>0.00%</c:formatCode>
                <c:ptCount val="2"/>
                <c:pt idx="0">
                  <c:v>0.99</c:v>
                </c:pt>
                <c:pt idx="1">
                  <c:v>0.94055250169803617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75-4AD0-8C3E-FC92C8B9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'02_OPERACIONAL'!$I$38</c:f>
              <c:strCache>
                <c:ptCount val="1"/>
                <c:pt idx="0">
                  <c:v>% CSAT / AHT (Satisfação)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20000"/>
                      <a:lumOff val="80000"/>
                    </a:schemeClr>
                  </a:gs>
                  <a:gs pos="74000">
                    <a:schemeClr val="accent3">
                      <a:lumMod val="40000"/>
                      <a:lumOff val="60000"/>
                    </a:schemeClr>
                  </a:gs>
                  <a:gs pos="83000">
                    <a:schemeClr val="accent3">
                      <a:lumMod val="20000"/>
                      <a:lumOff val="80000"/>
                    </a:schemeClr>
                  </a:gs>
                  <a:gs pos="100000">
                    <a:schemeClr val="accent3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7-471D-80C0-B6D2751F727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28575" cap="rnd" cmpd="sng" algn="ctr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7-471D-80C0-B6D2751F7274}"/>
              </c:ext>
            </c:extLst>
          </c:dPt>
          <c:val>
            <c:numRef>
              <c:f>'02_OPERACIONAL'!$I$39:$I$40</c:f>
              <c:numCache>
                <c:formatCode>0.00%</c:formatCode>
                <c:ptCount val="2"/>
                <c:pt idx="0">
                  <c:v>1</c:v>
                </c:pt>
                <c:pt idx="1">
                  <c:v>0.87545454545454537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87-471D-80C0-B6D2751F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'01_RESUMO'!$F$37</c:f>
              <c:strCache>
                <c:ptCount val="1"/>
                <c:pt idx="0">
                  <c:v>Meta%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Atendidas</c:v>
                </c:pt>
              </c:strCache>
            </c:strRef>
          </c:cat>
          <c:val>
            <c:numRef>
              <c:f>'01_RESUMO'!$F$38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DC4-BB7A-3CBE8C8F1C17}"/>
            </c:ext>
          </c:extLst>
        </c:ser>
        <c:ser>
          <c:idx val="1"/>
          <c:order val="1"/>
          <c:tx>
            <c:strRef>
              <c:f>'01_RESUMO'!$G$37</c:f>
              <c:strCache>
                <c:ptCount val="1"/>
                <c:pt idx="0">
                  <c:v>Atingimento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'01_RESUMO'!$E$38</c:f>
              <c:strCache>
                <c:ptCount val="1"/>
                <c:pt idx="0">
                  <c:v>Atendidas</c:v>
                </c:pt>
              </c:strCache>
            </c:strRef>
          </c:cat>
          <c:val>
            <c:numRef>
              <c:f>'01_RESUMO'!$G$38</c:f>
              <c:numCache>
                <c:formatCode>0.00%</c:formatCode>
                <c:ptCount val="1"/>
                <c:pt idx="0">
                  <c:v>0.93240000000000001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D-4DC4-BB7A-3CBE8C8F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-43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'02_OPERACIONAL'!$F$5</c:f>
              <c:strCache>
                <c:ptCount val="1"/>
                <c:pt idx="0">
                  <c:v>Recebidas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'02_OPERACIONAL'!$F$6:$F$16</c:f>
              <c:numCache>
                <c:formatCode>#,##0</c:formatCode>
                <c:ptCount val="11"/>
                <c:pt idx="0">
                  <c:v>200</c:v>
                </c:pt>
                <c:pt idx="1">
                  <c:v>722</c:v>
                </c:pt>
                <c:pt idx="2">
                  <c:v>900</c:v>
                </c:pt>
                <c:pt idx="3">
                  <c:v>1300</c:v>
                </c:pt>
                <c:pt idx="4">
                  <c:v>1820</c:v>
                </c:pt>
                <c:pt idx="5">
                  <c:v>1750</c:v>
                </c:pt>
                <c:pt idx="6">
                  <c:v>1820</c:v>
                </c:pt>
                <c:pt idx="7">
                  <c:v>1740</c:v>
                </c:pt>
                <c:pt idx="8">
                  <c:v>1100</c:v>
                </c:pt>
                <c:pt idx="9">
                  <c:v>941</c:v>
                </c:pt>
                <c:pt idx="10">
                  <c:v>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03-441B-AFFF-878A9D107CC5}"/>
            </c:ext>
          </c:extLst>
        </c:ser>
        <c:ser>
          <c:idx val="1"/>
          <c:order val="1"/>
          <c:tx>
            <c:strRef>
              <c:f>'02_OPERACIONAL'!$G$5</c:f>
              <c:strCache>
                <c:ptCount val="1"/>
                <c:pt idx="0">
                  <c:v>Alô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'02_OPERACIONAL'!$G$6:$G$16</c:f>
              <c:numCache>
                <c:formatCode>#,##0</c:formatCode>
                <c:ptCount val="11"/>
                <c:pt idx="0">
                  <c:v>182</c:v>
                </c:pt>
                <c:pt idx="1">
                  <c:v>612</c:v>
                </c:pt>
                <c:pt idx="2">
                  <c:v>812</c:v>
                </c:pt>
                <c:pt idx="3">
                  <c:v>1150</c:v>
                </c:pt>
                <c:pt idx="4">
                  <c:v>1520</c:v>
                </c:pt>
                <c:pt idx="5">
                  <c:v>1630</c:v>
                </c:pt>
                <c:pt idx="6">
                  <c:v>1520</c:v>
                </c:pt>
                <c:pt idx="7">
                  <c:v>1420</c:v>
                </c:pt>
                <c:pt idx="8">
                  <c:v>1080</c:v>
                </c:pt>
                <c:pt idx="9">
                  <c:v>760</c:v>
                </c:pt>
                <c:pt idx="10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03-441B-AFFF-878A9D107CC5}"/>
            </c:ext>
          </c:extLst>
        </c:ser>
        <c:ser>
          <c:idx val="2"/>
          <c:order val="2"/>
          <c:tx>
            <c:strRef>
              <c:f>'02_OPERACIONAL'!$H$5</c:f>
              <c:strCache>
                <c:ptCount val="1"/>
                <c:pt idx="0">
                  <c:v>Abandonadas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'02_OPERACIONAL'!$H$6:$H$16</c:f>
              <c:numCache>
                <c:formatCode>#,##0</c:formatCode>
                <c:ptCount val="11"/>
                <c:pt idx="0">
                  <c:v>42</c:v>
                </c:pt>
                <c:pt idx="1">
                  <c:v>143</c:v>
                </c:pt>
                <c:pt idx="2">
                  <c:v>194</c:v>
                </c:pt>
                <c:pt idx="3">
                  <c:v>276</c:v>
                </c:pt>
                <c:pt idx="4">
                  <c:v>368</c:v>
                </c:pt>
                <c:pt idx="5">
                  <c:v>392</c:v>
                </c:pt>
                <c:pt idx="6">
                  <c:v>360</c:v>
                </c:pt>
                <c:pt idx="7">
                  <c:v>334</c:v>
                </c:pt>
                <c:pt idx="8">
                  <c:v>258</c:v>
                </c:pt>
                <c:pt idx="9">
                  <c:v>174</c:v>
                </c:pt>
                <c:pt idx="10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03-441B-AFFF-878A9D107C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Taxas por Hora</a:t>
            </a:r>
          </a:p>
        </c:rich>
      </c:tx>
      <c:layout>
        <c:manualLayout>
          <c:xMode val="edge"/>
          <c:yMode val="edge"/>
          <c:x val="2.4700041380160666E-2"/>
          <c:y val="4.75504214866637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'02_OPERACIONAL'!$L$5</c:f>
              <c:strCache>
                <c:ptCount val="1"/>
                <c:pt idx="0">
                  <c:v>% Abandono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5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58000"/>
                </a:schemeClr>
              </a:solidFill>
              <a:ln w="9525" cap="flat" cmpd="sng" algn="ctr">
                <a:solidFill>
                  <a:schemeClr val="accent3">
                    <a:shade val="58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'02_OPERACIONAL'!$L$6:$L$16</c:f>
              <c:numCache>
                <c:formatCode>0.00%</c:formatCode>
                <c:ptCount val="11"/>
                <c:pt idx="0">
                  <c:v>0.21</c:v>
                </c:pt>
                <c:pt idx="1">
                  <c:v>0.19806094182825484</c:v>
                </c:pt>
                <c:pt idx="2">
                  <c:v>0.21555555555555556</c:v>
                </c:pt>
                <c:pt idx="3">
                  <c:v>0.21230769230769231</c:v>
                </c:pt>
                <c:pt idx="4">
                  <c:v>0.2021978021978022</c:v>
                </c:pt>
                <c:pt idx="5">
                  <c:v>0.224</c:v>
                </c:pt>
                <c:pt idx="6">
                  <c:v>0.19780219780219779</c:v>
                </c:pt>
                <c:pt idx="7">
                  <c:v>0.19195402298850575</c:v>
                </c:pt>
                <c:pt idx="8">
                  <c:v>0.23454545454545456</c:v>
                </c:pt>
                <c:pt idx="9">
                  <c:v>0.1849096705632306</c:v>
                </c:pt>
                <c:pt idx="10">
                  <c:v>0.21308724832214765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27-4E36-8599-F6A62A3C6939}"/>
            </c:ext>
          </c:extLst>
        </c:ser>
        <c:ser>
          <c:idx val="1"/>
          <c:order val="1"/>
          <c:tx>
            <c:strRef>
              <c:f>'02_OPERACIONAL'!$M$5</c:f>
              <c:strCache>
                <c:ptCount val="1"/>
                <c:pt idx="0">
                  <c:v>% FCR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86000"/>
                </a:schemeClr>
              </a:solidFill>
              <a:ln w="9525" cap="flat" cmpd="sng" algn="ctr">
                <a:solidFill>
                  <a:schemeClr val="accent3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'02_OPERACIONAL'!$M$6:$M$16</c:f>
              <c:numCache>
                <c:formatCode>0.00%</c:formatCode>
                <c:ptCount val="11"/>
                <c:pt idx="0">
                  <c:v>0.87912087912087911</c:v>
                </c:pt>
                <c:pt idx="1">
                  <c:v>0.96078431372549022</c:v>
                </c:pt>
                <c:pt idx="2">
                  <c:v>0.97290640394088668</c:v>
                </c:pt>
                <c:pt idx="3">
                  <c:v>0.96695652173913038</c:v>
                </c:pt>
                <c:pt idx="4">
                  <c:v>0.9375</c:v>
                </c:pt>
                <c:pt idx="5">
                  <c:v>0.98220858895705521</c:v>
                </c:pt>
                <c:pt idx="6">
                  <c:v>0.98618421052631577</c:v>
                </c:pt>
                <c:pt idx="7">
                  <c:v>0.95633802816901403</c:v>
                </c:pt>
                <c:pt idx="8">
                  <c:v>0.92685185185185182</c:v>
                </c:pt>
                <c:pt idx="9">
                  <c:v>0.95131578947368423</c:v>
                </c:pt>
                <c:pt idx="10">
                  <c:v>0.82591093117408909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27-4E36-8599-F6A62A3C6939}"/>
            </c:ext>
          </c:extLst>
        </c:ser>
        <c:ser>
          <c:idx val="2"/>
          <c:order val="2"/>
          <c:tx>
            <c:strRef>
              <c:f>'02_OPERACIONAL'!$N$5</c:f>
              <c:strCache>
                <c:ptCount val="1"/>
                <c:pt idx="0">
                  <c:v>% CSAT / AHT (Satisfação)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8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86000"/>
                </a:schemeClr>
              </a:solidFill>
              <a:ln w="9525" cap="flat" cmpd="sng" algn="ctr">
                <a:solidFill>
                  <a:schemeClr val="accent3">
                    <a:tint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'02_OPERACIONAL'!$E$6:$E$16</c:f>
              <c:strCache>
                <c:ptCount val="11"/>
                <c:pt idx="0">
                  <c:v>08h</c:v>
                </c:pt>
                <c:pt idx="1">
                  <c:v>09h</c:v>
                </c:pt>
                <c:pt idx="2">
                  <c:v>10h</c:v>
                </c:pt>
                <c:pt idx="3">
                  <c:v>11h</c:v>
                </c:pt>
                <c:pt idx="4">
                  <c:v>12h</c:v>
                </c:pt>
                <c:pt idx="5">
                  <c:v>13h</c:v>
                </c:pt>
                <c:pt idx="6">
                  <c:v>14h</c:v>
                </c:pt>
                <c:pt idx="7">
                  <c:v>15h</c:v>
                </c:pt>
                <c:pt idx="8">
                  <c:v>16h</c:v>
                </c:pt>
                <c:pt idx="9">
                  <c:v>17h</c:v>
                </c:pt>
                <c:pt idx="10">
                  <c:v>18h</c:v>
                </c:pt>
              </c:strCache>
            </c:strRef>
          </c:cat>
          <c:val>
            <c:numRef>
              <c:f>'02_OPERACIONAL'!$N$6:$N$16</c:f>
              <c:numCache>
                <c:formatCode>0.00%</c:formatCode>
                <c:ptCount val="11"/>
                <c:pt idx="0">
                  <c:v>0.75</c:v>
                </c:pt>
                <c:pt idx="1">
                  <c:v>0.84</c:v>
                </c:pt>
                <c:pt idx="2">
                  <c:v>0.92</c:v>
                </c:pt>
                <c:pt idx="3">
                  <c:v>0.79</c:v>
                </c:pt>
                <c:pt idx="4">
                  <c:v>0.88</c:v>
                </c:pt>
                <c:pt idx="5">
                  <c:v>0.94</c:v>
                </c:pt>
                <c:pt idx="6">
                  <c:v>0.86</c:v>
                </c:pt>
                <c:pt idx="7">
                  <c:v>0.92</c:v>
                </c:pt>
                <c:pt idx="8">
                  <c:v>0.97</c:v>
                </c:pt>
                <c:pt idx="9">
                  <c:v>1</c:v>
                </c:pt>
                <c:pt idx="10">
                  <c:v>0.76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27-4E36-8599-F6A62A3C6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jfif"/><Relationship Id="rId6" Type="http://schemas.openxmlformats.org/officeDocument/2006/relationships/image" Target="../media/image6.pn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chart" Target="../charts/chart3.xml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234947</xdr:rowOff>
    </xdr:from>
    <xdr:to>
      <xdr:col>2</xdr:col>
      <xdr:colOff>406400</xdr:colOff>
      <xdr:row>3</xdr:row>
      <xdr:rowOff>203029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E45F06-9FE8-09F1-F15A-C4AFA439A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234947"/>
          <a:ext cx="1446741" cy="686690"/>
        </a:xfrm>
        <a:prstGeom prst="rect">
          <a:avLst/>
        </a:prstGeom>
      </xdr:spPr>
    </xdr:pic>
    <xdr:clientData/>
  </xdr:twoCellAnchor>
  <xdr:twoCellAnchor>
    <xdr:from>
      <xdr:col>5</xdr:col>
      <xdr:colOff>719767</xdr:colOff>
      <xdr:row>5</xdr:row>
      <xdr:rowOff>118363</xdr:rowOff>
    </xdr:from>
    <xdr:to>
      <xdr:col>7</xdr:col>
      <xdr:colOff>710269</xdr:colOff>
      <xdr:row>10</xdr:row>
      <xdr:rowOff>97706</xdr:rowOff>
    </xdr:to>
    <xdr:grpSp>
      <xdr:nvGrpSpPr>
        <xdr:cNvPr id="72" name="Agrupar 71">
          <a:extLst>
            <a:ext uri="{FF2B5EF4-FFF2-40B4-BE49-F238E27FC236}">
              <a16:creationId xmlns:a16="http://schemas.microsoft.com/office/drawing/2014/main" id="{E8B916AF-54E6-698B-DF5A-3B5E5A129DCD}"/>
            </a:ext>
          </a:extLst>
        </xdr:cNvPr>
        <xdr:cNvGrpSpPr/>
      </xdr:nvGrpSpPr>
      <xdr:grpSpPr>
        <a:xfrm>
          <a:off x="4359905" y="1252632"/>
          <a:ext cx="1758977" cy="952480"/>
          <a:chOff x="4164667" y="1455105"/>
          <a:chExt cx="1767016" cy="935677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6159C1AF-C7F5-46EC-AD65-60C58F33B7F4}"/>
              </a:ext>
            </a:extLst>
          </xdr:cNvPr>
          <xdr:cNvGrpSpPr/>
        </xdr:nvGrpSpPr>
        <xdr:grpSpPr>
          <a:xfrm>
            <a:off x="4164667" y="1455105"/>
            <a:ext cx="1767016" cy="935677"/>
            <a:chOff x="2808816" y="2151592"/>
            <a:chExt cx="1734608" cy="955674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A2AF6763-18DB-76DF-41E0-A612A3BBAABC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rgbClr val="0A4A48"/>
            </a:solidFill>
            <a:ln>
              <a:noFill/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006E7E00-D0BE-35E3-B7C5-7214B3248DDD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ALÔ</a:t>
              </a:r>
            </a:p>
          </xdr:txBody>
        </xdr:sp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B4BFB602-A516-8E0C-BDD2-3527C65EBF8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chemeClr val="bg1"/>
                  </a:solidFill>
                </a:rPr>
                <a:t>50.600</a:t>
              </a:r>
            </a:p>
          </xdr:txBody>
        </xdr:sp>
      </xdr:grpSp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F05070E7-E843-C3B6-DF39-60E114A028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78368" y="1810520"/>
            <a:ext cx="362052" cy="363972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171448</xdr:colOff>
      <xdr:row>5</xdr:row>
      <xdr:rowOff>133308</xdr:rowOff>
    </xdr:from>
    <xdr:to>
      <xdr:col>5</xdr:col>
      <xdr:colOff>338286</xdr:colOff>
      <xdr:row>10</xdr:row>
      <xdr:rowOff>110046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370C2BB5-1379-0874-7AAD-F5A0A7DA5890}"/>
            </a:ext>
          </a:extLst>
        </xdr:cNvPr>
        <xdr:cNvGrpSpPr/>
      </xdr:nvGrpSpPr>
      <xdr:grpSpPr>
        <a:xfrm>
          <a:off x="2207417" y="1264402"/>
          <a:ext cx="1771007" cy="949875"/>
          <a:chOff x="2219324" y="1447758"/>
          <a:chExt cx="1773387" cy="954643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17F723C1-A921-66F6-4ED0-4441609510F9}"/>
              </a:ext>
            </a:extLst>
          </xdr:cNvPr>
          <xdr:cNvGrpSpPr/>
        </xdr:nvGrpSpPr>
        <xdr:grpSpPr>
          <a:xfrm>
            <a:off x="2219324" y="1447758"/>
            <a:ext cx="1773387" cy="954643"/>
            <a:chOff x="2808816" y="2151592"/>
            <a:chExt cx="1734608" cy="955674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72F74620-F60D-4EFE-8082-B9CD59ADA7BE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EDCFB4BF-B4DB-D3A8-12CB-555FE149208A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RECEBIDAS</a:t>
              </a:r>
            </a:p>
          </xdr:txBody>
        </xdr: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F020B5B3-D514-489F-86FE-A4F2122B9360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96.206</a:t>
              </a:r>
            </a:p>
          </xdr:txBody>
        </xdr:sp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FC1B8445-1905-BAD1-5A1F-668495267D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02240" y="1819826"/>
            <a:ext cx="359826" cy="35761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157896</xdr:colOff>
      <xdr:row>5</xdr:row>
      <xdr:rowOff>134320</xdr:rowOff>
    </xdr:from>
    <xdr:to>
      <xdr:col>11</xdr:col>
      <xdr:colOff>108792</xdr:colOff>
      <xdr:row>10</xdr:row>
      <xdr:rowOff>85718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44E3672-C831-45F8-B9F5-D7995B8F6DC5}"/>
            </a:ext>
          </a:extLst>
        </xdr:cNvPr>
        <xdr:cNvGrpSpPr/>
      </xdr:nvGrpSpPr>
      <xdr:grpSpPr>
        <a:xfrm>
          <a:off x="6447571" y="1265414"/>
          <a:ext cx="1766202" cy="930885"/>
          <a:chOff x="2808816" y="2151592"/>
          <a:chExt cx="1734608" cy="955674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4E6E151A-2C74-2147-31D2-E6E31BCA895C}"/>
              </a:ext>
            </a:extLst>
          </xdr:cNvPr>
          <xdr:cNvSpPr/>
        </xdr:nvSpPr>
        <xdr:spPr>
          <a:xfrm>
            <a:off x="2808816" y="2151592"/>
            <a:ext cx="1734608" cy="955674"/>
          </a:xfrm>
          <a:prstGeom prst="roundRect">
            <a:avLst/>
          </a:prstGeom>
          <a:solidFill>
            <a:schemeClr val="bg1"/>
          </a:solidFill>
          <a:ln>
            <a:solidFill>
              <a:srgbClr val="04503F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4F6455E0-5F56-8062-09C1-26DDBA44A381}"/>
              </a:ext>
            </a:extLst>
          </xdr:cNvPr>
          <xdr:cNvSpPr txBox="1"/>
        </xdr:nvSpPr>
        <xdr:spPr>
          <a:xfrm>
            <a:off x="3104090" y="2254250"/>
            <a:ext cx="1160711" cy="2605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4503F"/>
                </a:solidFill>
              </a:rPr>
              <a:t>ABANDONADAS</a:t>
            </a: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11DD83B6-DCF8-B398-F31F-08B9F7650D31}"/>
              </a:ext>
            </a:extLst>
          </xdr:cNvPr>
          <xdr:cNvSpPr txBox="1"/>
        </xdr:nvSpPr>
        <xdr:spPr>
          <a:xfrm>
            <a:off x="2969910" y="2533615"/>
            <a:ext cx="1398059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2200" b="1">
                <a:solidFill>
                  <a:srgbClr val="04503F"/>
                </a:solidFill>
              </a:rPr>
              <a:t>12.100</a:t>
            </a:r>
          </a:p>
        </xdr:txBody>
      </xdr:sp>
    </xdr:grpSp>
    <xdr:clientData/>
  </xdr:twoCellAnchor>
  <xdr:twoCellAnchor>
    <xdr:from>
      <xdr:col>11</xdr:col>
      <xdr:colOff>449999</xdr:colOff>
      <xdr:row>5</xdr:row>
      <xdr:rowOff>146012</xdr:rowOff>
    </xdr:from>
    <xdr:to>
      <xdr:col>14</xdr:col>
      <xdr:colOff>388236</xdr:colOff>
      <xdr:row>10</xdr:row>
      <xdr:rowOff>100604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5809DF85-BAB7-3B89-7B24-05975D4C0986}"/>
            </a:ext>
          </a:extLst>
        </xdr:cNvPr>
        <xdr:cNvGrpSpPr/>
      </xdr:nvGrpSpPr>
      <xdr:grpSpPr>
        <a:xfrm>
          <a:off x="8554980" y="1273931"/>
          <a:ext cx="1766244" cy="937254"/>
          <a:chOff x="8089049" y="1438275"/>
          <a:chExt cx="1767037" cy="941943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CF91E5EC-0A40-4B25-AF30-758C5C846FC0}"/>
              </a:ext>
            </a:extLst>
          </xdr:cNvPr>
          <xdr:cNvGrpSpPr/>
        </xdr:nvGrpSpPr>
        <xdr:grpSpPr>
          <a:xfrm>
            <a:off x="8089049" y="1438275"/>
            <a:ext cx="1767037" cy="941943"/>
            <a:chOff x="2808816" y="2151592"/>
            <a:chExt cx="1734608" cy="955674"/>
          </a:xfrm>
        </xdr:grpSpPr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E2E6255F-E815-0731-A4E5-7C5E46FCC8B4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F51772AF-0EEF-45B3-3C13-B1D2C07DDA78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FCR</a:t>
              </a:r>
            </a:p>
          </xdr:txBody>
        </xdr:sp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46073A2-9E0D-E898-7683-47758B8983BD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7.900</a:t>
              </a:r>
            </a:p>
          </xdr:txBody>
        </xdr: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22E4E492-CA69-7E96-DC3F-9A5BEE723F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16233" y="1808840"/>
            <a:ext cx="383025" cy="400059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480888</xdr:colOff>
      <xdr:row>5</xdr:row>
      <xdr:rowOff>147073</xdr:rowOff>
    </xdr:from>
    <xdr:to>
      <xdr:col>21</xdr:col>
      <xdr:colOff>431801</xdr:colOff>
      <xdr:row>10</xdr:row>
      <xdr:rowOff>107969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C0762A22-15C2-6B88-FC5C-28D2A47B4EAE}"/>
            </a:ext>
          </a:extLst>
        </xdr:cNvPr>
        <xdr:cNvGrpSpPr/>
      </xdr:nvGrpSpPr>
      <xdr:grpSpPr>
        <a:xfrm>
          <a:off x="12842751" y="1274992"/>
          <a:ext cx="1766219" cy="937208"/>
          <a:chOff x="11980738" y="1439314"/>
          <a:chExt cx="1773366" cy="941971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AD206AAE-C734-4DEB-8C07-80B21C8277C2}"/>
              </a:ext>
            </a:extLst>
          </xdr:cNvPr>
          <xdr:cNvGrpSpPr/>
        </xdr:nvGrpSpPr>
        <xdr:grpSpPr>
          <a:xfrm>
            <a:off x="11980738" y="1439314"/>
            <a:ext cx="1773366" cy="941971"/>
            <a:chOff x="2808816" y="2151592"/>
            <a:chExt cx="1734608" cy="955674"/>
          </a:xfrm>
        </xdr:grpSpPr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FFADB0CA-528D-B073-5FD8-CFCD752AE897}"/>
                </a:ext>
              </a:extLst>
            </xdr:cNvPr>
            <xdr:cNvSpPr/>
          </xdr:nvSpPr>
          <xdr:spPr>
            <a:xfrm>
              <a:off x="2808816" y="2151592"/>
              <a:ext cx="1734608" cy="95567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4503F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pt-BR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BE4180BD-14AD-F657-4670-271E18E03FD0}"/>
                </a:ext>
              </a:extLst>
            </xdr:cNvPr>
            <xdr:cNvSpPr txBox="1"/>
          </xdr:nvSpPr>
          <xdr:spPr>
            <a:xfrm>
              <a:off x="3104091" y="2254250"/>
              <a:ext cx="1084792" cy="293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1">
                  <a:solidFill>
                    <a:srgbClr val="04503F"/>
                  </a:solidFill>
                </a:rPr>
                <a:t>NS</a:t>
              </a:r>
            </a:p>
          </xdr:txBody>
        </xdr:sp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5CA32A37-E9E2-D80C-0967-EB52F28EE21B}"/>
                </a:ext>
              </a:extLst>
            </xdr:cNvPr>
            <xdr:cNvSpPr txBox="1"/>
          </xdr:nvSpPr>
          <xdr:spPr>
            <a:xfrm>
              <a:off x="2969910" y="2533615"/>
              <a:ext cx="1398059" cy="4233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pt-BR" sz="2200" b="1">
                  <a:solidFill>
                    <a:srgbClr val="04503F"/>
                  </a:solidFill>
                </a:rPr>
                <a:t>82,4%</a:t>
              </a:r>
            </a:p>
          </xdr:txBody>
        </xdr:sp>
      </xdr:grpSp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DE92AE13-5189-1F3E-4C88-A64C6B4FA0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21395" y="1812984"/>
            <a:ext cx="351923" cy="354440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102992</xdr:colOff>
      <xdr:row>5</xdr:row>
      <xdr:rowOff>140670</xdr:rowOff>
    </xdr:from>
    <xdr:to>
      <xdr:col>18</xdr:col>
      <xdr:colOff>187066</xdr:colOff>
      <xdr:row>10</xdr:row>
      <xdr:rowOff>98418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8CCD9FD-A194-407E-8A70-2A1A13C84ED7}"/>
            </a:ext>
          </a:extLst>
        </xdr:cNvPr>
        <xdr:cNvGrpSpPr/>
      </xdr:nvGrpSpPr>
      <xdr:grpSpPr>
        <a:xfrm>
          <a:off x="10643198" y="1274939"/>
          <a:ext cx="1899381" cy="930885"/>
          <a:chOff x="2808816" y="2151592"/>
          <a:chExt cx="1848388" cy="955674"/>
        </a:xfrm>
      </xdr:grpSpPr>
      <xdr:sp macro="" textlink="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F2338AEB-1A1B-CB2E-C904-4A4E77539C60}"/>
              </a:ext>
            </a:extLst>
          </xdr:cNvPr>
          <xdr:cNvSpPr/>
        </xdr:nvSpPr>
        <xdr:spPr>
          <a:xfrm>
            <a:off x="2808816" y="2151592"/>
            <a:ext cx="1734608" cy="955674"/>
          </a:xfrm>
          <a:prstGeom prst="roundRect">
            <a:avLst/>
          </a:prstGeom>
          <a:solidFill>
            <a:schemeClr val="bg1"/>
          </a:solidFill>
          <a:ln>
            <a:solidFill>
              <a:srgbClr val="04503F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DDD06F1E-D239-16CC-B0EF-75DF6AC1BBE9}"/>
              </a:ext>
            </a:extLst>
          </xdr:cNvPr>
          <xdr:cNvSpPr txBox="1"/>
        </xdr:nvSpPr>
        <xdr:spPr>
          <a:xfrm>
            <a:off x="3104091" y="2254250"/>
            <a:ext cx="1084792" cy="2931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rgbClr val="04503F"/>
                </a:solidFill>
              </a:rPr>
              <a:t>TMA</a:t>
            </a:r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BAEDE1FC-CFE5-8751-8505-4DE5C25FE5F6}"/>
              </a:ext>
            </a:extLst>
          </xdr:cNvPr>
          <xdr:cNvSpPr txBox="1"/>
        </xdr:nvSpPr>
        <xdr:spPr>
          <a:xfrm>
            <a:off x="3259145" y="2558022"/>
            <a:ext cx="1398059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200" b="1">
                <a:solidFill>
                  <a:srgbClr val="04503F"/>
                </a:solidFill>
              </a:rPr>
              <a:t>00:02:50</a:t>
            </a:r>
          </a:p>
        </xdr:txBody>
      </xdr:sp>
    </xdr:grpSp>
    <xdr:clientData/>
  </xdr:twoCellAnchor>
  <xdr:twoCellAnchor editAs="oneCell">
    <xdr:from>
      <xdr:col>15</xdr:col>
      <xdr:colOff>48479</xdr:colOff>
      <xdr:row>1</xdr:row>
      <xdr:rowOff>183092</xdr:rowOff>
    </xdr:from>
    <xdr:to>
      <xdr:col>15</xdr:col>
      <xdr:colOff>568571</xdr:colOff>
      <xdr:row>4</xdr:row>
      <xdr:rowOff>59517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02CBE70-1229-0E3D-8361-D628CC73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8354" y="478367"/>
          <a:ext cx="520092" cy="53365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13</xdr:row>
      <xdr:rowOff>85725</xdr:rowOff>
    </xdr:from>
    <xdr:to>
      <xdr:col>11</xdr:col>
      <xdr:colOff>263813</xdr:colOff>
      <xdr:row>27</xdr:row>
      <xdr:rowOff>77194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7535A8D-EAC0-4C8B-8C53-C5919F4A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11</xdr:col>
      <xdr:colOff>206376</xdr:colOff>
      <xdr:row>13</xdr:row>
      <xdr:rowOff>104476</xdr:rowOff>
    </xdr:from>
    <xdr:to>
      <xdr:col>15</xdr:col>
      <xdr:colOff>392437</xdr:colOff>
      <xdr:row>20</xdr:row>
      <xdr:rowOff>85785</xdr:rowOff>
    </xdr:to>
    <xdr:graphicFrame macro="">
      <xdr:nvGraphicFramePr>
        <xdr:cNvPr id="67" name="Chart 1">
          <a:extLst>
            <a:ext uri="{FF2B5EF4-FFF2-40B4-BE49-F238E27FC236}">
              <a16:creationId xmlns:a16="http://schemas.microsoft.com/office/drawing/2014/main" id="{CE1F46E7-FF78-4B12-BF28-DBDB4EB05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13</xdr:col>
      <xdr:colOff>231134</xdr:colOff>
      <xdr:row>13</xdr:row>
      <xdr:rowOff>123705</xdr:rowOff>
    </xdr:from>
    <xdr:to>
      <xdr:col>17</xdr:col>
      <xdr:colOff>420370</xdr:colOff>
      <xdr:row>20</xdr:row>
      <xdr:rowOff>105014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6BD722E8-22AB-4B46-93F4-50DD764B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15</xdr:col>
      <xdr:colOff>238745</xdr:colOff>
      <xdr:row>13</xdr:row>
      <xdr:rowOff>104774</xdr:rowOff>
    </xdr:from>
    <xdr:to>
      <xdr:col>19</xdr:col>
      <xdr:colOff>420368</xdr:colOff>
      <xdr:row>20</xdr:row>
      <xdr:rowOff>86083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339A3B4A-B32B-4252-9311-CDD5379E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17</xdr:col>
      <xdr:colOff>248914</xdr:colOff>
      <xdr:row>13</xdr:row>
      <xdr:rowOff>123466</xdr:rowOff>
    </xdr:from>
    <xdr:to>
      <xdr:col>21</xdr:col>
      <xdr:colOff>438150</xdr:colOff>
      <xdr:row>20</xdr:row>
      <xdr:rowOff>104775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CA65C310-FFB5-44E9-8837-94ADCF748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401109</xdr:colOff>
      <xdr:row>14</xdr:row>
      <xdr:rowOff>44450</xdr:rowOff>
    </xdr:from>
    <xdr:to>
      <xdr:col>11</xdr:col>
      <xdr:colOff>419100</xdr:colOff>
      <xdr:row>25</xdr:row>
      <xdr:rowOff>25400</xdr:rowOff>
    </xdr:to>
    <xdr:cxnSp macro="">
      <xdr:nvCxnSpPr>
        <xdr:cNvPr id="77" name="Conector reto 76">
          <a:extLst>
            <a:ext uri="{FF2B5EF4-FFF2-40B4-BE49-F238E27FC236}">
              <a16:creationId xmlns:a16="http://schemas.microsoft.com/office/drawing/2014/main" id="{99E7E944-143C-44D9-AF25-3CB5B77588AE}"/>
            </a:ext>
          </a:extLst>
        </xdr:cNvPr>
        <xdr:cNvCxnSpPr/>
      </xdr:nvCxnSpPr>
      <xdr:spPr>
        <a:xfrm>
          <a:off x="8544984" y="3054350"/>
          <a:ext cx="17991" cy="2105025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159256</xdr:colOff>
      <xdr:row>29</xdr:row>
      <xdr:rowOff>19051</xdr:rowOff>
    </xdr:from>
    <xdr:to>
      <xdr:col>10</xdr:col>
      <xdr:colOff>429464</xdr:colOff>
      <xdr:row>42</xdr:row>
      <xdr:rowOff>29521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1B044717-C4C3-41FC-B464-AD876574E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27781</xdr:colOff>
      <xdr:row>32</xdr:row>
      <xdr:rowOff>163506</xdr:rowOff>
    </xdr:from>
    <xdr:to>
      <xdr:col>18</xdr:col>
      <xdr:colOff>595311</xdr:colOff>
      <xdr:row>39</xdr:row>
      <xdr:rowOff>161131</xdr:rowOff>
    </xdr:to>
    <xdr:sp macro="" textlink="">
      <xdr:nvSpPr>
        <xdr:cNvPr id="87" name="Retângulo: Cantos Arredondados 86">
          <a:extLst>
            <a:ext uri="{FF2B5EF4-FFF2-40B4-BE49-F238E27FC236}">
              <a16:creationId xmlns:a16="http://schemas.microsoft.com/office/drawing/2014/main" id="{897F72CA-A32D-079A-F9FD-FF9BEA7025D6}"/>
            </a:ext>
          </a:extLst>
        </xdr:cNvPr>
        <xdr:cNvSpPr/>
      </xdr:nvSpPr>
      <xdr:spPr>
        <a:xfrm>
          <a:off x="10564812" y="6557162"/>
          <a:ext cx="2389187" cy="1319219"/>
        </a:xfrm>
        <a:prstGeom prst="roundRect">
          <a:avLst/>
        </a:prstGeom>
        <a:noFill/>
        <a:ln>
          <a:solidFill>
            <a:srgbClr val="04503F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330201</xdr:colOff>
      <xdr:row>7</xdr:row>
      <xdr:rowOff>101602</xdr:rowOff>
    </xdr:from>
    <xdr:to>
      <xdr:col>9</xdr:col>
      <xdr:colOff>154781</xdr:colOff>
      <xdr:row>9</xdr:row>
      <xdr:rowOff>79007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6E161A-BF2C-3C8C-7F9F-781D52E8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6701" y="1589883"/>
          <a:ext cx="431799" cy="417937"/>
        </a:xfrm>
        <a:prstGeom prst="rect">
          <a:avLst/>
        </a:prstGeom>
      </xdr:spPr>
    </xdr:pic>
    <xdr:clientData/>
  </xdr:twoCellAnchor>
  <xdr:twoCellAnchor editAs="oneCell">
    <xdr:from>
      <xdr:col>15</xdr:col>
      <xdr:colOff>175419</xdr:colOff>
      <xdr:row>7</xdr:row>
      <xdr:rowOff>56356</xdr:rowOff>
    </xdr:from>
    <xdr:to>
      <xdr:col>16</xdr:col>
      <xdr:colOff>107156</xdr:colOff>
      <xdr:row>9</xdr:row>
      <xdr:rowOff>155130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0E836EB-805E-1BD8-2D3E-1BD9D07DC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2450" y="1544637"/>
          <a:ext cx="538956" cy="539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662DD-DA8D-4446-B01B-392D6716B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5099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F946AE-06CA-4F84-A469-B0DE20320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835D7F-885B-4B82-9F6E-9F7D0F546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oneCellAnchor>
    <xdr:from>
      <xdr:col>3</xdr:col>
      <xdr:colOff>187326</xdr:colOff>
      <xdr:row>18</xdr:row>
      <xdr:rowOff>35983</xdr:rowOff>
    </xdr:from>
    <xdr:ext cx="6945842" cy="3012017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B6A76EE-8E30-4BE3-B2BE-2F79984A5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161925</xdr:colOff>
      <xdr:row>18</xdr:row>
      <xdr:rowOff>63500</xdr:rowOff>
    </xdr:from>
    <xdr:ext cx="6944400" cy="3013200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634FA09-5E4A-4E71-A90A-2D558C69B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9</xdr:col>
      <xdr:colOff>860425</xdr:colOff>
      <xdr:row>18</xdr:row>
      <xdr:rowOff>113241</xdr:rowOff>
    </xdr:from>
    <xdr:to>
      <xdr:col>9</xdr:col>
      <xdr:colOff>867834</xdr:colOff>
      <xdr:row>34</xdr:row>
      <xdr:rowOff>113242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31CD916-46E8-11FD-9B48-6028245CE4A8}"/>
            </a:ext>
          </a:extLst>
        </xdr:cNvPr>
        <xdr:cNvCxnSpPr/>
      </xdr:nvCxnSpPr>
      <xdr:spPr>
        <a:xfrm flipH="1">
          <a:off x="9221258" y="3785658"/>
          <a:ext cx="7409" cy="2942167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C1548C-602E-4F3E-8CCB-2AA00335B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2479E3-0802-4A2A-8130-B5401FDF9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2BDD05-526A-4119-B807-41AEE8E2C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2F253-9D0A-47E4-9BEC-F703557FC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4C4FA6-F275-4495-BAA1-627D00021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F19962-9DD9-4316-9D67-8E094A332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02A31-190B-4C9A-9316-72D2E21E1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409575</xdr:colOff>
      <xdr:row>3</xdr:row>
      <xdr:rowOff>74970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90DF7E-626D-4173-B0F3-BAE7870E3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104772</xdr:rowOff>
    </xdr:from>
    <xdr:to>
      <xdr:col>2</xdr:col>
      <xdr:colOff>406400</xdr:colOff>
      <xdr:row>3</xdr:row>
      <xdr:rowOff>74970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1719911-F914-477D-8E3C-42B09D115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6" b="23396"/>
        <a:stretch>
          <a:fillRect/>
        </a:stretch>
      </xdr:blipFill>
      <xdr:spPr>
        <a:xfrm>
          <a:off x="190501" y="107947"/>
          <a:ext cx="1438274" cy="6813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E5:M8" headerRowDxfId="11" dataDxfId="10" totalsRowDxfId="9">
  <autoFilter ref="E5:M8" xr:uid="{00000000-0009-0000-0100-000001000000}"/>
  <tableColumns count="9">
    <tableColumn id="1" xr3:uid="{00000000-0010-0000-0000-000001000000}" name="Data" dataDxfId="8"/>
    <tableColumn id="2" xr3:uid="{00000000-0010-0000-0000-000002000000}" name="Hora" dataDxfId="7"/>
    <tableColumn id="3" xr3:uid="{00000000-0010-0000-0000-000003000000}" name="Operador" dataDxfId="6"/>
    <tableColumn id="4" xr3:uid="{00000000-0010-0000-0000-000004000000}" name="Equipe" dataDxfId="5"/>
    <tableColumn id="5" xr3:uid="{00000000-0010-0000-0000-000005000000}" name="Tabulação" dataDxfId="4"/>
    <tableColumn id="6" xr3:uid="{00000000-0010-0000-0000-000006000000}" name="Subtabulação" dataDxfId="3"/>
    <tableColumn id="7" xr3:uid="{00000000-0010-0000-0000-000007000000}" name="Qtde" dataDxfId="2"/>
    <tableColumn id="8" xr3:uid="{00000000-0010-0000-0000-000008000000}" name="TMA" dataDxfId="1"/>
    <tableColumn id="9" xr3:uid="{00000000-0010-0000-0000-000009000000}" name="T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97A"/>
  </sheetPr>
  <dimension ref="A1:BR40"/>
  <sheetViews>
    <sheetView showGridLines="0" showRowColHeaders="0" tabSelected="1" zoomScale="80" zoomScaleNormal="80" workbookViewId="0">
      <pane ySplit="5" topLeftCell="A6" activePane="bottomLeft" state="frozen"/>
      <selection pane="bottomLeft" activeCell="U39" sqref="U39"/>
    </sheetView>
  </sheetViews>
  <sheetFormatPr defaultColWidth="8.7265625" defaultRowHeight="14.5" x14ac:dyDescent="0.35"/>
  <cols>
    <col min="1" max="2" width="8.7265625" style="17" customWidth="1"/>
    <col min="3" max="3" width="8.7265625" style="15" customWidth="1"/>
    <col min="4" max="4" width="3.1796875" customWidth="1"/>
    <col min="5" max="5" width="23" customWidth="1"/>
    <col min="6" max="8" width="12.6328125" customWidth="1"/>
    <col min="9" max="26" width="8.7265625" customWidth="1"/>
  </cols>
  <sheetData>
    <row r="1" spans="1:70" ht="23.5" x14ac:dyDescent="0.55000000000000004">
      <c r="E1" s="21" t="s">
        <v>47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 x14ac:dyDescent="0.35">
      <c r="E2" s="36"/>
      <c r="F2" s="3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70" ht="18.5" x14ac:dyDescent="0.35">
      <c r="E3" s="23" t="s">
        <v>87</v>
      </c>
      <c r="F3" s="37" t="s">
        <v>86</v>
      </c>
      <c r="G3" s="5" t="str">
        <f>'00_CONFIG'!B6</f>
        <v>Banco X</v>
      </c>
      <c r="H3" s="37" t="s">
        <v>88</v>
      </c>
      <c r="I3" s="5" t="str">
        <f>'00_CONFIG'!B7</f>
        <v>SAC / Receptivo</v>
      </c>
      <c r="K3" s="37" t="s">
        <v>89</v>
      </c>
      <c r="L3" s="5" t="str">
        <f>'00_CONFIG'!B8&amp;" a "&amp;'00_CONFIG'!B9</f>
        <v>01/09/2026 a 03/09/2026</v>
      </c>
      <c r="Q3" s="24" t="s">
        <v>75</v>
      </c>
    </row>
    <row r="4" spans="1:70" ht="18.5" x14ac:dyDescent="0.35">
      <c r="E4" s="38" t="s">
        <v>90</v>
      </c>
      <c r="Q4" s="51">
        <f>'00_CONFIG'!B12</f>
        <v>46309.5</v>
      </c>
      <c r="R4" s="51"/>
    </row>
    <row r="5" spans="1:70" x14ac:dyDescent="0.35">
      <c r="E5" s="5"/>
    </row>
    <row r="6" spans="1:70" x14ac:dyDescent="0.35">
      <c r="E6" s="12"/>
      <c r="G6" s="12"/>
      <c r="H6" s="14"/>
      <c r="I6" s="12"/>
      <c r="J6" s="14"/>
      <c r="K6" s="12"/>
      <c r="L6" s="14"/>
      <c r="M6" s="12"/>
      <c r="N6" s="14"/>
      <c r="O6" s="12"/>
    </row>
    <row r="7" spans="1:70" ht="14.5" customHeight="1" x14ac:dyDescent="0.35">
      <c r="E7" s="13"/>
      <c r="G7" s="13"/>
      <c r="I7" s="13"/>
      <c r="K7" s="13"/>
      <c r="M7" s="13"/>
      <c r="O7" s="12"/>
    </row>
    <row r="8" spans="1:70" ht="20" customHeight="1" x14ac:dyDescent="0.35">
      <c r="A8" s="49" t="s">
        <v>70</v>
      </c>
      <c r="B8" s="49"/>
      <c r="C8" s="49"/>
      <c r="E8" s="50"/>
      <c r="G8" s="50"/>
      <c r="I8" s="50"/>
      <c r="K8" s="50"/>
      <c r="M8" s="50"/>
      <c r="O8" s="52"/>
    </row>
    <row r="9" spans="1:70" x14ac:dyDescent="0.35">
      <c r="E9" s="50"/>
      <c r="G9" s="50"/>
      <c r="I9" s="50"/>
      <c r="K9" s="50"/>
      <c r="M9" s="50"/>
      <c r="O9" s="52"/>
    </row>
    <row r="11" spans="1:70" ht="20" customHeight="1" x14ac:dyDescent="0.35">
      <c r="A11" s="49" t="s">
        <v>71</v>
      </c>
      <c r="B11" s="49"/>
      <c r="C11" s="49"/>
    </row>
    <row r="13" spans="1:70" ht="15.5" x14ac:dyDescent="0.35">
      <c r="E13" s="40" t="s">
        <v>103</v>
      </c>
      <c r="M13" s="40" t="s">
        <v>103</v>
      </c>
    </row>
    <row r="14" spans="1:70" ht="20" customHeight="1" x14ac:dyDescent="0.35">
      <c r="A14" s="49" t="s">
        <v>72</v>
      </c>
      <c r="B14" s="49"/>
      <c r="C14" s="49"/>
    </row>
    <row r="15" spans="1:70" ht="14.5" customHeight="1" x14ac:dyDescent="0.35"/>
    <row r="16" spans="1:70" ht="14.5" customHeight="1" x14ac:dyDescent="0.35">
      <c r="G16" s="25"/>
    </row>
    <row r="17" spans="1:20" ht="20" customHeight="1" x14ac:dyDescent="0.35">
      <c r="A17" s="49" t="s">
        <v>73</v>
      </c>
      <c r="B17" s="49"/>
      <c r="C17" s="49"/>
      <c r="G17" s="25"/>
      <c r="N17" s="48">
        <f>'02_OPERACIONAL'!F40</f>
        <v>0.96254673359280263</v>
      </c>
      <c r="P17" s="48">
        <f>'02_OPERACIONAL'!G40</f>
        <v>0.2076745987373492</v>
      </c>
      <c r="R17" s="48">
        <f>'02_OPERACIONAL'!H40</f>
        <v>0.94055250169803617</v>
      </c>
      <c r="T17" s="48">
        <f>'02_OPERACIONAL'!I40</f>
        <v>0.87545454545454537</v>
      </c>
    </row>
    <row r="18" spans="1:20" x14ac:dyDescent="0.35">
      <c r="G18" s="25"/>
      <c r="N18" s="48"/>
      <c r="P18" s="48"/>
      <c r="R18" s="48"/>
      <c r="T18" s="48"/>
    </row>
    <row r="19" spans="1:20" x14ac:dyDescent="0.35">
      <c r="G19" s="25"/>
    </row>
    <row r="20" spans="1:20" ht="18.5" x14ac:dyDescent="0.35">
      <c r="A20" s="49" t="s">
        <v>74</v>
      </c>
      <c r="B20" s="49"/>
      <c r="C20" s="49"/>
      <c r="G20" s="25"/>
    </row>
    <row r="21" spans="1:20" x14ac:dyDescent="0.35">
      <c r="G21" s="25"/>
      <c r="N21" s="39" t="s">
        <v>97</v>
      </c>
      <c r="P21" s="39" t="s">
        <v>98</v>
      </c>
      <c r="R21" s="39" t="s">
        <v>99</v>
      </c>
      <c r="T21" s="39" t="s">
        <v>100</v>
      </c>
    </row>
    <row r="29" spans="1:20" ht="15.5" x14ac:dyDescent="0.35">
      <c r="E29" s="40" t="s">
        <v>105</v>
      </c>
    </row>
    <row r="35" spans="5:18" ht="15.5" x14ac:dyDescent="0.35">
      <c r="E35" s="6" t="s">
        <v>2</v>
      </c>
      <c r="Q35" s="46">
        <f>$G$40</f>
        <v>0.9365</v>
      </c>
      <c r="R35" s="46"/>
    </row>
    <row r="36" spans="5:18" ht="15.5" x14ac:dyDescent="0.35">
      <c r="E36" s="6"/>
      <c r="Q36" s="46"/>
      <c r="R36" s="46"/>
    </row>
    <row r="37" spans="5:18" x14ac:dyDescent="0.35">
      <c r="E37" s="18" t="s">
        <v>3</v>
      </c>
      <c r="F37" s="18" t="s">
        <v>93</v>
      </c>
      <c r="G37" s="18" t="s">
        <v>6</v>
      </c>
      <c r="H37" s="18" t="s">
        <v>5</v>
      </c>
      <c r="I37" s="18" t="s">
        <v>4</v>
      </c>
    </row>
    <row r="38" spans="5:18" ht="15.5" x14ac:dyDescent="0.35">
      <c r="E38" s="8" t="s">
        <v>104</v>
      </c>
      <c r="F38" s="9">
        <v>1</v>
      </c>
      <c r="G38" s="9">
        <v>0.93240000000000001</v>
      </c>
      <c r="H38" s="7">
        <v>8500</v>
      </c>
      <c r="I38" s="7">
        <v>7900</v>
      </c>
      <c r="Q38" s="47" t="s">
        <v>92</v>
      </c>
      <c r="R38" s="47"/>
    </row>
    <row r="39" spans="5:18" x14ac:dyDescent="0.35">
      <c r="E39" s="8" t="s">
        <v>101</v>
      </c>
      <c r="F39" s="9">
        <v>0.99</v>
      </c>
      <c r="G39" s="9">
        <v>0.94059999999999999</v>
      </c>
      <c r="H39" s="8">
        <v>700</v>
      </c>
      <c r="I39" s="7">
        <v>556</v>
      </c>
    </row>
    <row r="40" spans="5:18" x14ac:dyDescent="0.35">
      <c r="G40" s="41">
        <f>AVERAGE(G38:G39)</f>
        <v>0.9365</v>
      </c>
    </row>
  </sheetData>
  <mergeCells count="18">
    <mergeCell ref="A20:C20"/>
    <mergeCell ref="K8:K9"/>
    <mergeCell ref="M8:M9"/>
    <mergeCell ref="T17:T18"/>
    <mergeCell ref="Q4:R4"/>
    <mergeCell ref="O8:O9"/>
    <mergeCell ref="A11:C11"/>
    <mergeCell ref="A8:C8"/>
    <mergeCell ref="A14:C14"/>
    <mergeCell ref="E8:E9"/>
    <mergeCell ref="G8:G9"/>
    <mergeCell ref="I8:I9"/>
    <mergeCell ref="A17:C17"/>
    <mergeCell ref="Q35:R36"/>
    <mergeCell ref="Q38:R38"/>
    <mergeCell ref="N17:N18"/>
    <mergeCell ref="P17:P18"/>
    <mergeCell ref="R17:R18"/>
  </mergeCells>
  <hyperlinks>
    <hyperlink ref="A11:C11" location="'02_OPERACIONAL'!A1" display="Operacional" xr:uid="{32F847B5-02C0-4123-B2E2-5F66F0918D90}"/>
    <hyperlink ref="A14:C14" location="'03_DETALHAMENTO'!A1" display="Detalhamento" xr:uid="{9495E522-AD20-47FE-B7D2-EADA9F95E13B}"/>
    <hyperlink ref="A17:C17" location="'04_INDICADORES'!A1" display="Indicadores" xr:uid="{5A9D602E-93C5-488B-B7D3-FC3401902283}"/>
    <hyperlink ref="A20:C20" location="'05_BASE'!A1" display="Base" xr:uid="{CE43533D-7BBC-4382-BAF6-C4DF7414F73A}"/>
    <hyperlink ref="A8:C8" location="'01_RESUMO'!A1" display="Resumo" xr:uid="{00B6CD28-9D9D-4324-93D7-7C1C0A2FBE0B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97A"/>
  </sheetPr>
  <dimension ref="A1:BS57"/>
  <sheetViews>
    <sheetView showGridLines="0" showRowColHeaders="0" zoomScale="80" zoomScaleNormal="80" workbookViewId="0">
      <pane ySplit="4" topLeftCell="A5" activePane="bottomLeft" state="frozen"/>
      <selection pane="bottomLeft" activeCell="E3" sqref="E3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15" width="18" customWidth="1"/>
  </cols>
  <sheetData>
    <row r="1" spans="1:71" ht="23.5" x14ac:dyDescent="0.55000000000000004">
      <c r="E1" s="53" t="s">
        <v>47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</row>
    <row r="2" spans="1:71" ht="18.5" x14ac:dyDescent="0.45">
      <c r="E2" s="3" t="s">
        <v>15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71" x14ac:dyDescent="0.35">
      <c r="E3" s="24" t="s">
        <v>106</v>
      </c>
    </row>
    <row r="5" spans="1:71" x14ac:dyDescent="0.35">
      <c r="E5" s="16" t="s">
        <v>7</v>
      </c>
      <c r="F5" s="16" t="s">
        <v>95</v>
      </c>
      <c r="G5" s="16" t="s">
        <v>8</v>
      </c>
      <c r="H5" s="16" t="s">
        <v>96</v>
      </c>
      <c r="I5" s="16" t="s">
        <v>101</v>
      </c>
      <c r="J5" s="30" t="s">
        <v>102</v>
      </c>
      <c r="K5" s="16" t="s">
        <v>97</v>
      </c>
      <c r="L5" s="16" t="s">
        <v>98</v>
      </c>
      <c r="M5" s="16" t="s">
        <v>99</v>
      </c>
      <c r="N5" s="56" t="s">
        <v>100</v>
      </c>
      <c r="O5" s="30" t="s">
        <v>25</v>
      </c>
    </row>
    <row r="6" spans="1:71" x14ac:dyDescent="0.35">
      <c r="E6" s="19" t="s">
        <v>9</v>
      </c>
      <c r="F6" s="26">
        <v>200</v>
      </c>
      <c r="G6" s="26">
        <v>182</v>
      </c>
      <c r="H6" s="26">
        <v>42</v>
      </c>
      <c r="I6" s="26">
        <v>160</v>
      </c>
      <c r="J6" s="26">
        <f>I6+15</f>
        <v>175</v>
      </c>
      <c r="K6" s="20">
        <f>J6/G6</f>
        <v>0.96153846153846156</v>
      </c>
      <c r="L6" s="20">
        <f>H6/F6</f>
        <v>0.21</v>
      </c>
      <c r="M6" s="20">
        <f>I6/G6</f>
        <v>0.87912087912087911</v>
      </c>
      <c r="N6" s="20">
        <v>0.75</v>
      </c>
      <c r="O6" s="32">
        <v>1.7476851851851852E-3</v>
      </c>
      <c r="P6" s="20">
        <f>G6/F6</f>
        <v>0.91</v>
      </c>
    </row>
    <row r="7" spans="1:71" ht="18.5" x14ac:dyDescent="0.35">
      <c r="A7" s="49" t="s">
        <v>70</v>
      </c>
      <c r="B7" s="49"/>
      <c r="C7" s="49"/>
      <c r="E7" s="19" t="s">
        <v>10</v>
      </c>
      <c r="F7" s="26">
        <v>722</v>
      </c>
      <c r="G7" s="26">
        <v>612</v>
      </c>
      <c r="H7" s="26">
        <v>143</v>
      </c>
      <c r="I7" s="26">
        <v>588</v>
      </c>
      <c r="J7" s="26">
        <f t="shared" ref="J7:J16" si="0">I7+15</f>
        <v>603</v>
      </c>
      <c r="K7" s="20">
        <f t="shared" ref="K7:K16" si="1">J7/G7</f>
        <v>0.98529411764705888</v>
      </c>
      <c r="L7" s="20">
        <f t="shared" ref="L7:L16" si="2">H7/F7</f>
        <v>0.19806094182825484</v>
      </c>
      <c r="M7" s="20">
        <f t="shared" ref="M7:M16" si="3">I7/G7</f>
        <v>0.96078431372549022</v>
      </c>
      <c r="N7" s="20">
        <v>0.84</v>
      </c>
      <c r="O7" s="32">
        <v>1.4351851851851852E-3</v>
      </c>
      <c r="P7" s="20">
        <f t="shared" ref="P7:P16" si="4">G7/F7</f>
        <v>0.8476454293628809</v>
      </c>
    </row>
    <row r="8" spans="1:71" x14ac:dyDescent="0.35">
      <c r="E8" s="19" t="s">
        <v>11</v>
      </c>
      <c r="F8" s="26">
        <v>900</v>
      </c>
      <c r="G8" s="26">
        <v>812</v>
      </c>
      <c r="H8" s="26">
        <v>194</v>
      </c>
      <c r="I8" s="26">
        <v>790</v>
      </c>
      <c r="J8" s="26">
        <f t="shared" si="0"/>
        <v>805</v>
      </c>
      <c r="K8" s="20">
        <f t="shared" si="1"/>
        <v>0.99137931034482762</v>
      </c>
      <c r="L8" s="20">
        <f t="shared" si="2"/>
        <v>0.21555555555555556</v>
      </c>
      <c r="M8" s="20">
        <f t="shared" si="3"/>
        <v>0.97290640394088668</v>
      </c>
      <c r="N8" s="20">
        <v>0.92</v>
      </c>
      <c r="O8" s="32">
        <v>2.1064814814814813E-3</v>
      </c>
      <c r="P8" s="20">
        <f t="shared" si="4"/>
        <v>0.90222222222222226</v>
      </c>
    </row>
    <row r="9" spans="1:71" x14ac:dyDescent="0.35">
      <c r="E9" s="19" t="s">
        <v>12</v>
      </c>
      <c r="F9" s="26">
        <v>1300</v>
      </c>
      <c r="G9" s="26">
        <v>1150</v>
      </c>
      <c r="H9" s="26">
        <v>276</v>
      </c>
      <c r="I9" s="26">
        <v>1112</v>
      </c>
      <c r="J9" s="26">
        <f t="shared" si="0"/>
        <v>1127</v>
      </c>
      <c r="K9" s="20">
        <f t="shared" si="1"/>
        <v>0.98</v>
      </c>
      <c r="L9" s="20">
        <f t="shared" si="2"/>
        <v>0.21230769230769231</v>
      </c>
      <c r="M9" s="20">
        <f t="shared" si="3"/>
        <v>0.96695652173913038</v>
      </c>
      <c r="N9" s="20">
        <v>0.79</v>
      </c>
      <c r="O9" s="32">
        <v>2.1990740740740742E-3</v>
      </c>
      <c r="P9" s="20">
        <f t="shared" si="4"/>
        <v>0.88461538461538458</v>
      </c>
    </row>
    <row r="10" spans="1:71" ht="18.5" x14ac:dyDescent="0.35">
      <c r="A10" s="49" t="s">
        <v>71</v>
      </c>
      <c r="B10" s="49"/>
      <c r="C10" s="49"/>
      <c r="E10" s="19" t="s">
        <v>13</v>
      </c>
      <c r="F10" s="26">
        <v>1820</v>
      </c>
      <c r="G10" s="26">
        <v>1520</v>
      </c>
      <c r="H10" s="26">
        <v>368</v>
      </c>
      <c r="I10" s="26">
        <v>1425</v>
      </c>
      <c r="J10" s="26">
        <f t="shared" si="0"/>
        <v>1440</v>
      </c>
      <c r="K10" s="20">
        <f t="shared" si="1"/>
        <v>0.94736842105263153</v>
      </c>
      <c r="L10" s="20">
        <f t="shared" si="2"/>
        <v>0.2021978021978022</v>
      </c>
      <c r="M10" s="20">
        <f t="shared" si="3"/>
        <v>0.9375</v>
      </c>
      <c r="N10" s="20">
        <v>0.88</v>
      </c>
      <c r="O10" s="32">
        <v>2.1990740740740742E-3</v>
      </c>
      <c r="P10" s="20">
        <f t="shared" si="4"/>
        <v>0.8351648351648352</v>
      </c>
    </row>
    <row r="11" spans="1:71" x14ac:dyDescent="0.35">
      <c r="E11" s="19" t="s">
        <v>14</v>
      </c>
      <c r="F11" s="26">
        <v>1750</v>
      </c>
      <c r="G11" s="26">
        <v>1630</v>
      </c>
      <c r="H11" s="26">
        <v>392</v>
      </c>
      <c r="I11" s="26">
        <v>1601</v>
      </c>
      <c r="J11" s="26">
        <f t="shared" si="0"/>
        <v>1616</v>
      </c>
      <c r="K11" s="20">
        <f t="shared" si="1"/>
        <v>0.99141104294478533</v>
      </c>
      <c r="L11" s="20">
        <f t="shared" si="2"/>
        <v>0.224</v>
      </c>
      <c r="M11" s="20">
        <f t="shared" si="3"/>
        <v>0.98220858895705521</v>
      </c>
      <c r="N11" s="20">
        <v>0.94</v>
      </c>
      <c r="O11" s="32">
        <v>1.7476851851851852E-3</v>
      </c>
      <c r="P11" s="20">
        <f t="shared" si="4"/>
        <v>0.93142857142857138</v>
      </c>
    </row>
    <row r="12" spans="1:71" x14ac:dyDescent="0.35">
      <c r="E12" s="19" t="s">
        <v>76</v>
      </c>
      <c r="F12" s="26">
        <v>1820</v>
      </c>
      <c r="G12" s="26">
        <v>1520</v>
      </c>
      <c r="H12" s="26">
        <v>360</v>
      </c>
      <c r="I12" s="26">
        <v>1499</v>
      </c>
      <c r="J12" s="26">
        <f t="shared" si="0"/>
        <v>1514</v>
      </c>
      <c r="K12" s="20">
        <f t="shared" si="1"/>
        <v>0.99605263157894741</v>
      </c>
      <c r="L12" s="20">
        <f t="shared" si="2"/>
        <v>0.19780219780219779</v>
      </c>
      <c r="M12" s="20">
        <f t="shared" si="3"/>
        <v>0.98618421052631577</v>
      </c>
      <c r="N12" s="20">
        <v>0.86</v>
      </c>
      <c r="O12" s="32">
        <v>2.1990740740740742E-3</v>
      </c>
      <c r="P12" s="20">
        <f t="shared" si="4"/>
        <v>0.8351648351648352</v>
      </c>
      <c r="T12" s="29"/>
    </row>
    <row r="13" spans="1:71" ht="18.5" x14ac:dyDescent="0.35">
      <c r="A13" s="49" t="s">
        <v>72</v>
      </c>
      <c r="B13" s="49"/>
      <c r="C13" s="49"/>
      <c r="E13" s="19" t="s">
        <v>77</v>
      </c>
      <c r="F13" s="26">
        <v>1740</v>
      </c>
      <c r="G13" s="26">
        <v>1420</v>
      </c>
      <c r="H13" s="26">
        <v>334</v>
      </c>
      <c r="I13" s="26">
        <v>1358</v>
      </c>
      <c r="J13" s="26">
        <f t="shared" si="0"/>
        <v>1373</v>
      </c>
      <c r="K13" s="20">
        <f t="shared" si="1"/>
        <v>0.96690140845070427</v>
      </c>
      <c r="L13" s="20">
        <f t="shared" si="2"/>
        <v>0.19195402298850575</v>
      </c>
      <c r="M13" s="20">
        <f t="shared" si="3"/>
        <v>0.95633802816901403</v>
      </c>
      <c r="N13" s="20">
        <v>0.92</v>
      </c>
      <c r="O13" s="32" t="s">
        <v>18</v>
      </c>
      <c r="P13" s="20">
        <f t="shared" si="4"/>
        <v>0.81609195402298851</v>
      </c>
    </row>
    <row r="14" spans="1:71" x14ac:dyDescent="0.35">
      <c r="E14" s="19" t="s">
        <v>78</v>
      </c>
      <c r="F14" s="26">
        <v>1100</v>
      </c>
      <c r="G14" s="26">
        <v>1080</v>
      </c>
      <c r="H14" s="26">
        <v>258</v>
      </c>
      <c r="I14" s="26">
        <v>1001</v>
      </c>
      <c r="J14" s="26">
        <f t="shared" si="0"/>
        <v>1016</v>
      </c>
      <c r="K14" s="20">
        <f t="shared" si="1"/>
        <v>0.94074074074074077</v>
      </c>
      <c r="L14" s="20">
        <f t="shared" si="2"/>
        <v>0.23454545454545456</v>
      </c>
      <c r="M14" s="20">
        <f t="shared" si="3"/>
        <v>0.92685185185185182</v>
      </c>
      <c r="N14" s="20">
        <v>0.97</v>
      </c>
      <c r="O14" s="32">
        <v>1.7476851851851852E-3</v>
      </c>
      <c r="P14" s="20">
        <f t="shared" si="4"/>
        <v>0.98181818181818181</v>
      </c>
    </row>
    <row r="15" spans="1:71" x14ac:dyDescent="0.35">
      <c r="E15" s="19" t="s">
        <v>79</v>
      </c>
      <c r="F15" s="26">
        <v>941</v>
      </c>
      <c r="G15" s="26">
        <v>760</v>
      </c>
      <c r="H15" s="26">
        <v>174</v>
      </c>
      <c r="I15" s="26">
        <v>723</v>
      </c>
      <c r="J15" s="26">
        <f t="shared" si="0"/>
        <v>738</v>
      </c>
      <c r="K15" s="20">
        <f t="shared" si="1"/>
        <v>0.97105263157894739</v>
      </c>
      <c r="L15" s="20">
        <f t="shared" si="2"/>
        <v>0.1849096705632306</v>
      </c>
      <c r="M15" s="20">
        <f t="shared" si="3"/>
        <v>0.95131578947368423</v>
      </c>
      <c r="N15" s="20">
        <v>1</v>
      </c>
      <c r="O15" s="32">
        <v>2.1990740740740742E-3</v>
      </c>
      <c r="P15" s="20">
        <f t="shared" si="4"/>
        <v>0.8076514346439958</v>
      </c>
    </row>
    <row r="16" spans="1:71" ht="18.5" x14ac:dyDescent="0.35">
      <c r="A16" s="49" t="s">
        <v>73</v>
      </c>
      <c r="B16" s="49"/>
      <c r="C16" s="49"/>
      <c r="E16" s="19" t="s">
        <v>80</v>
      </c>
      <c r="F16" s="26">
        <v>596</v>
      </c>
      <c r="G16" s="26">
        <v>494</v>
      </c>
      <c r="H16" s="26">
        <v>127</v>
      </c>
      <c r="I16" s="26">
        <v>408</v>
      </c>
      <c r="J16" s="26">
        <f t="shared" si="0"/>
        <v>423</v>
      </c>
      <c r="K16" s="20">
        <f t="shared" si="1"/>
        <v>0.85627530364372473</v>
      </c>
      <c r="L16" s="20">
        <f t="shared" si="2"/>
        <v>0.21308724832214765</v>
      </c>
      <c r="M16" s="20">
        <f t="shared" si="3"/>
        <v>0.82591093117408909</v>
      </c>
      <c r="N16" s="20">
        <v>0.76</v>
      </c>
      <c r="O16" s="32">
        <v>2.1064814814814813E-3</v>
      </c>
      <c r="P16" s="20">
        <f t="shared" si="4"/>
        <v>0.82885906040268453</v>
      </c>
    </row>
    <row r="17" spans="1:15" x14ac:dyDescent="0.35">
      <c r="E17" s="16" t="s">
        <v>81</v>
      </c>
      <c r="F17" s="27">
        <f>SUM(F6:F16)</f>
        <v>12889</v>
      </c>
      <c r="G17" s="27">
        <f t="shared" ref="G17:K17" si="5">SUM(G6:G16)</f>
        <v>11180</v>
      </c>
      <c r="H17" s="27">
        <f t="shared" si="5"/>
        <v>2668</v>
      </c>
      <c r="I17" s="27">
        <f t="shared" si="5"/>
        <v>10665</v>
      </c>
      <c r="J17" s="27">
        <f t="shared" si="5"/>
        <v>10830</v>
      </c>
      <c r="K17" s="28">
        <f>AVERAGE(K6:K16)</f>
        <v>0.96254673359280263</v>
      </c>
      <c r="L17" s="28">
        <f>AVERAGE(L6:L16)</f>
        <v>0.2076745987373492</v>
      </c>
      <c r="M17" s="28">
        <f t="shared" ref="M17:N17" si="6">AVERAGE(M6:M16)</f>
        <v>0.94055250169803617</v>
      </c>
      <c r="N17" s="28">
        <f t="shared" si="6"/>
        <v>0.87545454545454537</v>
      </c>
      <c r="O17" s="31">
        <f>AVERAGE(O6:O16)</f>
        <v>1.96875E-3</v>
      </c>
    </row>
    <row r="18" spans="1:15" x14ac:dyDescent="0.35">
      <c r="G18" s="25"/>
    </row>
    <row r="19" spans="1:15" ht="18.5" x14ac:dyDescent="0.35">
      <c r="A19" s="49" t="s">
        <v>74</v>
      </c>
      <c r="B19" s="49"/>
      <c r="C19" s="49"/>
      <c r="G19" s="25"/>
    </row>
    <row r="20" spans="1:15" x14ac:dyDescent="0.35">
      <c r="G20" s="25"/>
    </row>
    <row r="36" spans="4:13" x14ac:dyDescent="0.35">
      <c r="E36" s="55"/>
      <c r="F36" s="55"/>
      <c r="G36" s="55"/>
      <c r="H36" s="55"/>
      <c r="I36" s="55"/>
      <c r="J36" s="55"/>
      <c r="K36" s="55"/>
    </row>
    <row r="37" spans="4:13" x14ac:dyDescent="0.35"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 spans="4:13" x14ac:dyDescent="0.35">
      <c r="D38" s="43"/>
      <c r="E38" s="43"/>
      <c r="F38" s="44" t="s">
        <v>97</v>
      </c>
      <c r="G38" s="44" t="s">
        <v>98</v>
      </c>
      <c r="H38" s="44" t="s">
        <v>99</v>
      </c>
      <c r="I38" s="44" t="s">
        <v>100</v>
      </c>
      <c r="J38" s="44" t="s">
        <v>92</v>
      </c>
      <c r="K38" s="43"/>
      <c r="L38" s="43"/>
      <c r="M38" s="43"/>
    </row>
    <row r="39" spans="4:13" x14ac:dyDescent="0.35">
      <c r="D39" s="43"/>
      <c r="E39" s="44" t="s">
        <v>5</v>
      </c>
      <c r="F39" s="42">
        <v>0.99</v>
      </c>
      <c r="G39" s="42">
        <v>0.1</v>
      </c>
      <c r="H39" s="42">
        <v>0.99</v>
      </c>
      <c r="I39" s="42">
        <v>1</v>
      </c>
      <c r="J39" s="45">
        <f>AVERAGE(F39:I39)</f>
        <v>0.77</v>
      </c>
      <c r="K39" s="43"/>
      <c r="L39" s="43"/>
      <c r="M39" s="43"/>
    </row>
    <row r="40" spans="4:13" x14ac:dyDescent="0.35">
      <c r="D40" s="43"/>
      <c r="E40" s="44" t="s">
        <v>91</v>
      </c>
      <c r="F40" s="42">
        <f>K17</f>
        <v>0.96254673359280263</v>
      </c>
      <c r="G40" s="42">
        <f t="shared" ref="G40:I40" si="7">L17</f>
        <v>0.2076745987373492</v>
      </c>
      <c r="H40" s="42">
        <f t="shared" si="7"/>
        <v>0.94055250169803617</v>
      </c>
      <c r="I40" s="42">
        <f t="shared" si="7"/>
        <v>0.87545454545454537</v>
      </c>
      <c r="J40" s="45">
        <f>AVERAGE(F40:I40)</f>
        <v>0.74655709487068334</v>
      </c>
      <c r="K40" s="43"/>
      <c r="L40" s="43"/>
      <c r="M40" s="43"/>
    </row>
    <row r="41" spans="4:13" x14ac:dyDescent="0.35"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spans="4:13" x14ac:dyDescent="0.35"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 spans="4:13" x14ac:dyDescent="0.35"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 spans="4:13" x14ac:dyDescent="0.35">
      <c r="D44" s="43"/>
      <c r="E44" s="58" t="s">
        <v>97</v>
      </c>
      <c r="F44" s="42">
        <v>0.99</v>
      </c>
      <c r="G44" s="42">
        <v>1</v>
      </c>
      <c r="H44" s="43"/>
      <c r="I44" s="43"/>
      <c r="J44" s="43"/>
      <c r="K44" s="43"/>
      <c r="L44" s="43"/>
      <c r="M44" s="43"/>
    </row>
    <row r="45" spans="4:13" x14ac:dyDescent="0.35">
      <c r="D45" s="43"/>
      <c r="E45" s="58" t="s">
        <v>98</v>
      </c>
      <c r="F45" s="42">
        <v>0.1</v>
      </c>
      <c r="G45" s="42">
        <v>1</v>
      </c>
      <c r="H45" s="43"/>
      <c r="I45" s="43"/>
      <c r="J45" s="43"/>
      <c r="K45" s="43"/>
      <c r="L45" s="43"/>
      <c r="M45" s="43"/>
    </row>
    <row r="46" spans="4:13" x14ac:dyDescent="0.35">
      <c r="D46" s="43"/>
      <c r="E46" s="58" t="s">
        <v>99</v>
      </c>
      <c r="F46" s="42">
        <v>0.99</v>
      </c>
      <c r="G46" s="42">
        <v>1</v>
      </c>
      <c r="H46" s="43"/>
      <c r="I46" s="43"/>
      <c r="J46" s="43"/>
      <c r="K46" s="43"/>
      <c r="L46" s="43"/>
      <c r="M46" s="43"/>
    </row>
    <row r="47" spans="4:13" x14ac:dyDescent="0.35">
      <c r="D47" s="43"/>
      <c r="E47" s="58" t="s">
        <v>100</v>
      </c>
      <c r="F47" s="42">
        <v>1</v>
      </c>
      <c r="G47" s="42">
        <v>1</v>
      </c>
      <c r="H47" s="43"/>
      <c r="I47" s="43"/>
      <c r="J47" s="43"/>
      <c r="K47" s="43"/>
      <c r="L47" s="43"/>
      <c r="M47" s="43"/>
    </row>
    <row r="48" spans="4:13" x14ac:dyDescent="0.35"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 spans="4:13" x14ac:dyDescent="0.35"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 spans="4:13" x14ac:dyDescent="0.35"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 spans="4:13" x14ac:dyDescent="0.35"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 spans="4:13" x14ac:dyDescent="0.35"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 spans="4:13" x14ac:dyDescent="0.35"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4:13" x14ac:dyDescent="0.35"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spans="4:13" x14ac:dyDescent="0.35"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4:13" x14ac:dyDescent="0.35"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 spans="4:13" x14ac:dyDescent="0.35">
      <c r="D57" s="43"/>
      <c r="E57" s="43"/>
      <c r="F57" s="43"/>
      <c r="G57" s="43"/>
      <c r="H57" s="43"/>
      <c r="I57" s="43"/>
      <c r="J57" s="43"/>
      <c r="K57" s="43"/>
      <c r="L57" s="43"/>
      <c r="M57" s="43"/>
    </row>
  </sheetData>
  <mergeCells count="6">
    <mergeCell ref="A19:C19"/>
    <mergeCell ref="E1:BS1"/>
    <mergeCell ref="A7:C7"/>
    <mergeCell ref="A10:C10"/>
    <mergeCell ref="A13:C13"/>
    <mergeCell ref="A16:C16"/>
  </mergeCells>
  <hyperlinks>
    <hyperlink ref="A10:C10" location="'02_OPERACIONAL'!A1" display="Operacional" xr:uid="{7358A9A8-6078-429A-A26C-24A76056BBE8}"/>
    <hyperlink ref="A13:C13" location="'03_DETALHAMENTO'!A1" display="Detalhamento" xr:uid="{E6DFEB5C-B7E0-44F0-8DE8-2BD4E35A66C2}"/>
    <hyperlink ref="A16:C16" location="'04_INDICADORES'!A1" display="Indicadores" xr:uid="{71416FE9-2A78-4DC1-8F57-07362E9F8109}"/>
    <hyperlink ref="A19:C19" location="'05_BASE'!A1" display="Base" xr:uid="{5641426B-2438-41B9-8214-01E36155D412}"/>
    <hyperlink ref="A7:C7" location="'01_RESUMO'!A1" display="Resumo" xr:uid="{DD031EA2-F2B7-4FF4-A8D3-059534DDE34B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D97A"/>
  </sheetPr>
  <dimension ref="A1:BQ19"/>
  <sheetViews>
    <sheetView showGridLines="0" showRowColHeaders="0" zoomScale="80" zoomScaleNormal="80" workbookViewId="0">
      <pane ySplit="4" topLeftCell="A5" activePane="bottomLeft" state="frozen"/>
      <selection pane="bottomLeft" activeCell="F17" sqref="F17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5" width="18" customWidth="1"/>
    <col min="6" max="6" width="29.54296875" bestFit="1" customWidth="1"/>
    <col min="7" max="8" width="18" customWidth="1"/>
    <col min="9" max="9" width="21.6328125" bestFit="1" customWidth="1"/>
    <col min="10" max="13" width="18" customWidth="1"/>
  </cols>
  <sheetData>
    <row r="1" spans="1:69" ht="23.5" x14ac:dyDescent="0.55000000000000004">
      <c r="E1" s="53" t="s">
        <v>47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</row>
    <row r="2" spans="1:69" ht="18.5" x14ac:dyDescent="0.45">
      <c r="E2" s="3" t="s">
        <v>19</v>
      </c>
      <c r="F2" s="4"/>
      <c r="G2" s="4"/>
      <c r="H2" s="4"/>
      <c r="I2" s="4"/>
      <c r="J2" s="4"/>
      <c r="K2" s="4"/>
      <c r="L2" s="4"/>
      <c r="M2" s="4"/>
    </row>
    <row r="3" spans="1:69" x14ac:dyDescent="0.35">
      <c r="E3" s="24" t="s">
        <v>107</v>
      </c>
    </row>
    <row r="5" spans="1:69" x14ac:dyDescent="0.35">
      <c r="E5" s="16" t="s">
        <v>20</v>
      </c>
      <c r="F5" s="16" t="s">
        <v>108</v>
      </c>
      <c r="G5" s="30" t="s">
        <v>95</v>
      </c>
      <c r="H5" s="30" t="s">
        <v>104</v>
      </c>
      <c r="I5" s="30" t="s">
        <v>16</v>
      </c>
      <c r="J5" s="30" t="s">
        <v>99</v>
      </c>
      <c r="K5" s="30" t="s">
        <v>109</v>
      </c>
    </row>
    <row r="6" spans="1:69" x14ac:dyDescent="0.35">
      <c r="E6" s="19" t="s">
        <v>26</v>
      </c>
      <c r="F6" s="59" t="s">
        <v>110</v>
      </c>
      <c r="G6" s="26">
        <v>12450</v>
      </c>
      <c r="H6" s="26">
        <v>12100</v>
      </c>
      <c r="I6" s="32">
        <v>2.9513888888888888E-3</v>
      </c>
      <c r="J6" s="57">
        <v>0.88</v>
      </c>
      <c r="K6" s="19">
        <v>4.8</v>
      </c>
    </row>
    <row r="7" spans="1:69" ht="18.5" x14ac:dyDescent="0.35">
      <c r="A7" s="49" t="s">
        <v>70</v>
      </c>
      <c r="B7" s="49"/>
      <c r="C7" s="49"/>
      <c r="E7" s="19" t="s">
        <v>26</v>
      </c>
      <c r="F7" s="59" t="s">
        <v>111</v>
      </c>
      <c r="G7" s="26">
        <v>8320</v>
      </c>
      <c r="H7" s="26">
        <v>7900</v>
      </c>
      <c r="I7" s="32">
        <v>5.9027777777777776E-3</v>
      </c>
      <c r="J7" s="57">
        <v>0.62</v>
      </c>
      <c r="K7" s="19">
        <v>3.9</v>
      </c>
    </row>
    <row r="8" spans="1:69" x14ac:dyDescent="0.35">
      <c r="E8" s="19" t="s">
        <v>26</v>
      </c>
      <c r="F8" s="59" t="s">
        <v>112</v>
      </c>
      <c r="G8" s="26">
        <v>3100</v>
      </c>
      <c r="H8" s="26">
        <v>3050</v>
      </c>
      <c r="I8" s="32">
        <v>7.8703703703703696E-3</v>
      </c>
      <c r="J8" s="57">
        <v>0.45</v>
      </c>
      <c r="K8" s="19">
        <v>3.2</v>
      </c>
    </row>
    <row r="9" spans="1:69" x14ac:dyDescent="0.35">
      <c r="E9" s="19" t="s">
        <v>26</v>
      </c>
      <c r="F9" s="59" t="s">
        <v>113</v>
      </c>
      <c r="G9" s="26">
        <v>1800</v>
      </c>
      <c r="H9" s="26">
        <v>1790</v>
      </c>
      <c r="I9" s="32">
        <v>1.9675925925925924E-3</v>
      </c>
      <c r="J9" s="57">
        <v>0.95</v>
      </c>
      <c r="K9" s="19">
        <v>4.9000000000000004</v>
      </c>
    </row>
    <row r="10" spans="1:69" ht="18.5" x14ac:dyDescent="0.35">
      <c r="A10" s="49" t="s">
        <v>71</v>
      </c>
      <c r="B10" s="49"/>
      <c r="C10" s="49"/>
      <c r="E10" s="33"/>
      <c r="F10" s="33"/>
      <c r="G10" s="33"/>
      <c r="H10" s="33"/>
      <c r="I10" s="33"/>
      <c r="J10" s="33"/>
      <c r="K10" s="33"/>
    </row>
    <row r="11" spans="1:69" x14ac:dyDescent="0.35">
      <c r="E11" s="33"/>
      <c r="F11" s="33"/>
      <c r="G11" s="33"/>
      <c r="H11" s="33"/>
      <c r="I11" s="33"/>
      <c r="J11" s="33"/>
      <c r="K11" s="33"/>
    </row>
    <row r="12" spans="1:69" x14ac:dyDescent="0.35">
      <c r="E12" s="33"/>
      <c r="F12" s="33"/>
      <c r="G12" s="33"/>
      <c r="H12" s="33"/>
      <c r="I12" s="33"/>
      <c r="J12" s="33"/>
      <c r="K12" s="33"/>
    </row>
    <row r="13" spans="1:69" ht="18.5" x14ac:dyDescent="0.35">
      <c r="A13" s="49" t="s">
        <v>72</v>
      </c>
      <c r="B13" s="49"/>
      <c r="C13" s="49"/>
    </row>
    <row r="16" spans="1:69" ht="18.5" x14ac:dyDescent="0.35">
      <c r="A16" s="49" t="s">
        <v>73</v>
      </c>
      <c r="B16" s="49"/>
      <c r="C16" s="49"/>
    </row>
    <row r="19" spans="1:3" ht="18.5" x14ac:dyDescent="0.35">
      <c r="A19" s="49" t="s">
        <v>74</v>
      </c>
      <c r="B19" s="49"/>
      <c r="C19" s="49"/>
    </row>
  </sheetData>
  <mergeCells count="6">
    <mergeCell ref="A19:C19"/>
    <mergeCell ref="E1:BQ1"/>
    <mergeCell ref="A7:C7"/>
    <mergeCell ref="A10:C10"/>
    <mergeCell ref="A13:C13"/>
    <mergeCell ref="A16:C16"/>
  </mergeCells>
  <hyperlinks>
    <hyperlink ref="A10:C10" location="'02_OPERACIONAL'!A1" display="Operacional" xr:uid="{C69D8192-3726-4387-BD0A-8D1492D505B6}"/>
    <hyperlink ref="A13:C13" location="'03_DETALHAMENTO'!A1" display="Detalhamento" xr:uid="{15DC45E9-FEAA-43AC-A148-4764F2C38123}"/>
    <hyperlink ref="A16:C16" location="'04_INDICADORES'!A1" display="Indicadores" xr:uid="{12D30668-9631-41A3-982C-7E99051EE3F1}"/>
    <hyperlink ref="A19:C19" location="'05_BASE'!A1" display="Base" xr:uid="{5EFBA070-F0DF-4521-AA08-4B2403C9DF0E}"/>
    <hyperlink ref="A7:C7" location="'01_RESUMO'!A1" display="Resumo" xr:uid="{24AF2F9E-DA56-4442-925E-E6F006012984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G28" sqref="G28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5" width="30.7265625" customWidth="1"/>
    <col min="6" max="6" width="57.08984375" bestFit="1" customWidth="1"/>
    <col min="7" max="7" width="49.36328125" bestFit="1" customWidth="1"/>
    <col min="8" max="9" width="14" customWidth="1"/>
    <col min="10" max="10" width="60.81640625" customWidth="1"/>
    <col min="11" max="14" width="18" customWidth="1"/>
  </cols>
  <sheetData>
    <row r="1" spans="1:70" ht="23.5" x14ac:dyDescent="0.55000000000000004">
      <c r="E1" s="53" t="s">
        <v>47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</row>
    <row r="2" spans="1:70" ht="18.5" x14ac:dyDescent="0.45">
      <c r="E2" s="3" t="s">
        <v>39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24" t="s">
        <v>106</v>
      </c>
    </row>
    <row r="5" spans="1:70" x14ac:dyDescent="0.35">
      <c r="E5" s="16" t="s">
        <v>3</v>
      </c>
      <c r="F5" s="16" t="s">
        <v>40</v>
      </c>
      <c r="G5" s="16" t="s">
        <v>41</v>
      </c>
      <c r="H5" s="16" t="s">
        <v>42</v>
      </c>
      <c r="I5" s="16" t="s">
        <v>43</v>
      </c>
      <c r="J5" s="16" t="s">
        <v>84</v>
      </c>
    </row>
    <row r="6" spans="1:70" x14ac:dyDescent="0.35">
      <c r="E6" s="34" t="s">
        <v>95</v>
      </c>
      <c r="F6" s="19" t="s">
        <v>114</v>
      </c>
      <c r="G6" s="34" t="s">
        <v>44</v>
      </c>
      <c r="H6" s="34" t="s">
        <v>45</v>
      </c>
      <c r="I6" s="34" t="s">
        <v>46</v>
      </c>
      <c r="J6" s="35" t="s">
        <v>116</v>
      </c>
    </row>
    <row r="7" spans="1:70" ht="18.5" x14ac:dyDescent="0.35">
      <c r="A7" s="49" t="s">
        <v>70</v>
      </c>
      <c r="B7" s="49"/>
      <c r="C7" s="49"/>
      <c r="E7" s="34" t="s">
        <v>8</v>
      </c>
      <c r="F7" s="34" t="s">
        <v>48</v>
      </c>
      <c r="G7" s="34" t="s">
        <v>49</v>
      </c>
      <c r="H7" s="34" t="s">
        <v>45</v>
      </c>
      <c r="I7" s="34" t="s">
        <v>46</v>
      </c>
      <c r="J7" s="35" t="s">
        <v>115</v>
      </c>
    </row>
    <row r="8" spans="1:70" x14ac:dyDescent="0.35">
      <c r="E8" s="34" t="s">
        <v>96</v>
      </c>
      <c r="F8" s="19" t="s">
        <v>117</v>
      </c>
      <c r="G8" s="34" t="s">
        <v>118</v>
      </c>
      <c r="H8" s="34" t="s">
        <v>45</v>
      </c>
      <c r="I8" s="34" t="s">
        <v>46</v>
      </c>
      <c r="J8" s="35" t="s">
        <v>119</v>
      </c>
    </row>
    <row r="9" spans="1:70" x14ac:dyDescent="0.35">
      <c r="E9" s="19" t="s">
        <v>120</v>
      </c>
      <c r="F9" s="34" t="s">
        <v>123</v>
      </c>
      <c r="G9" s="34" t="s">
        <v>122</v>
      </c>
      <c r="H9" s="34" t="s">
        <v>45</v>
      </c>
      <c r="I9" s="34" t="s">
        <v>46</v>
      </c>
      <c r="J9" s="35" t="s">
        <v>124</v>
      </c>
    </row>
    <row r="10" spans="1:70" ht="18.5" x14ac:dyDescent="0.35">
      <c r="A10" s="49" t="s">
        <v>71</v>
      </c>
      <c r="B10" s="49"/>
      <c r="C10" s="49"/>
      <c r="E10" s="19" t="s">
        <v>121</v>
      </c>
      <c r="F10" s="19" t="s">
        <v>125</v>
      </c>
      <c r="G10" s="19" t="s">
        <v>125</v>
      </c>
      <c r="H10" s="34" t="s">
        <v>50</v>
      </c>
      <c r="I10" s="34" t="s">
        <v>46</v>
      </c>
      <c r="J10" s="35" t="s">
        <v>126</v>
      </c>
    </row>
    <row r="11" spans="1:70" x14ac:dyDescent="0.35">
      <c r="E11" s="34" t="s">
        <v>16</v>
      </c>
      <c r="F11" s="34" t="s">
        <v>51</v>
      </c>
      <c r="G11" s="34" t="s">
        <v>52</v>
      </c>
      <c r="H11" s="34" t="s">
        <v>53</v>
      </c>
      <c r="I11" s="34" t="s">
        <v>46</v>
      </c>
      <c r="J11" s="35" t="s">
        <v>85</v>
      </c>
    </row>
    <row r="12" spans="1:70" x14ac:dyDescent="0.35">
      <c r="E12" s="34" t="s">
        <v>25</v>
      </c>
      <c r="F12" s="34" t="s">
        <v>82</v>
      </c>
      <c r="G12" s="34" t="s">
        <v>83</v>
      </c>
      <c r="H12" s="34" t="s">
        <v>53</v>
      </c>
      <c r="I12" s="34" t="s">
        <v>46</v>
      </c>
      <c r="J12" s="35" t="s">
        <v>85</v>
      </c>
    </row>
    <row r="13" spans="1:70" ht="18.5" x14ac:dyDescent="0.35">
      <c r="A13" s="49" t="s">
        <v>72</v>
      </c>
      <c r="B13" s="49"/>
      <c r="C13" s="49"/>
    </row>
    <row r="16" spans="1:70" ht="18.5" x14ac:dyDescent="0.35">
      <c r="A16" s="49" t="s">
        <v>73</v>
      </c>
      <c r="B16" s="49"/>
      <c r="C16" s="49"/>
    </row>
    <row r="19" spans="1:3" ht="18.5" x14ac:dyDescent="0.35">
      <c r="A19" s="49" t="s">
        <v>74</v>
      </c>
      <c r="B19" s="49"/>
      <c r="C19" s="49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AEDE9591-CA67-48EB-8262-8AF6307FD7AB}"/>
    <hyperlink ref="A13:C13" location="'03_DETALHAMENTO'!A1" display="Detalhamento" xr:uid="{4FB84D73-8108-42DC-968F-4D0CDDDFC498}"/>
    <hyperlink ref="A16:C16" location="'04_INDICADORES'!A1" display="Indicadores" xr:uid="{702D4FB5-5B51-4AE9-99F8-B54768B7C543}"/>
    <hyperlink ref="A19:C19" location="'05_BASE'!A1" display="Base" xr:uid="{63BFE226-6E7F-4EB5-BA2C-43570677BAF5}"/>
    <hyperlink ref="A7:C7" location="'01_RESUMO'!A1" display="Resumo" xr:uid="{54BE9593-E91D-4873-88A1-C9861C3F7965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D97A"/>
  </sheetPr>
  <dimension ref="A1:BR19"/>
  <sheetViews>
    <sheetView showGridLines="0" showRowColHeaders="0" zoomScale="80" zoomScaleNormal="80" workbookViewId="0">
      <pane ySplit="4" topLeftCell="A5" activePane="bottomLeft" state="frozen"/>
      <selection pane="bottomLeft" activeCell="J9" sqref="J9"/>
    </sheetView>
  </sheetViews>
  <sheetFormatPr defaultRowHeight="14.5" x14ac:dyDescent="0.35"/>
  <cols>
    <col min="1" max="2" width="8.7265625" style="17"/>
    <col min="3" max="3" width="8.7265625" style="15"/>
    <col min="4" max="4" width="3.1796875" customWidth="1"/>
    <col min="5" max="9" width="18" customWidth="1"/>
    <col min="10" max="10" width="21.6328125" bestFit="1" customWidth="1"/>
    <col min="11" max="14" width="18" customWidth="1"/>
  </cols>
  <sheetData>
    <row r="1" spans="1:70" ht="23.5" x14ac:dyDescent="0.55000000000000004">
      <c r="E1" s="53" t="s">
        <v>47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</row>
    <row r="2" spans="1:70" ht="18.5" x14ac:dyDescent="0.45">
      <c r="E2" s="3" t="s">
        <v>54</v>
      </c>
      <c r="F2" s="4"/>
      <c r="G2" s="4"/>
      <c r="H2" s="4"/>
      <c r="I2" s="4"/>
      <c r="J2" s="4"/>
      <c r="K2" s="4"/>
      <c r="L2" s="4"/>
      <c r="M2" s="4"/>
      <c r="N2" s="4"/>
    </row>
    <row r="3" spans="1:70" x14ac:dyDescent="0.35">
      <c r="E3" s="5" t="s">
        <v>1</v>
      </c>
    </row>
    <row r="5" spans="1:70" x14ac:dyDescent="0.35">
      <c r="E5" s="16" t="s">
        <v>20</v>
      </c>
      <c r="F5" s="16" t="s">
        <v>7</v>
      </c>
      <c r="G5" s="16" t="s">
        <v>21</v>
      </c>
      <c r="H5" s="16" t="s">
        <v>22</v>
      </c>
      <c r="I5" s="16" t="s">
        <v>23</v>
      </c>
      <c r="J5" s="16" t="s">
        <v>24</v>
      </c>
      <c r="K5" s="16" t="s">
        <v>55</v>
      </c>
      <c r="L5" s="16" t="s">
        <v>16</v>
      </c>
      <c r="M5" s="16" t="s">
        <v>25</v>
      </c>
    </row>
    <row r="6" spans="1:70" x14ac:dyDescent="0.35">
      <c r="E6" s="19" t="s">
        <v>26</v>
      </c>
      <c r="F6" s="19" t="s">
        <v>9</v>
      </c>
      <c r="G6" s="19" t="s">
        <v>27</v>
      </c>
      <c r="H6" s="19" t="s">
        <v>28</v>
      </c>
      <c r="I6" s="19" t="s">
        <v>29</v>
      </c>
      <c r="J6" s="19" t="s">
        <v>127</v>
      </c>
      <c r="K6" s="19">
        <v>10</v>
      </c>
      <c r="L6" s="19" t="s">
        <v>17</v>
      </c>
      <c r="M6" s="19" t="s">
        <v>30</v>
      </c>
    </row>
    <row r="7" spans="1:70" ht="18.5" x14ac:dyDescent="0.35">
      <c r="A7" s="49" t="s">
        <v>70</v>
      </c>
      <c r="B7" s="49"/>
      <c r="C7" s="49"/>
      <c r="E7" s="19" t="s">
        <v>26</v>
      </c>
      <c r="F7" s="19" t="s">
        <v>9</v>
      </c>
      <c r="G7" s="19" t="s">
        <v>31</v>
      </c>
      <c r="H7" s="19" t="s">
        <v>32</v>
      </c>
      <c r="I7" s="19" t="s">
        <v>29</v>
      </c>
      <c r="J7" s="19" t="s">
        <v>128</v>
      </c>
      <c r="K7" s="19">
        <v>8</v>
      </c>
      <c r="L7" s="19" t="s">
        <v>33</v>
      </c>
      <c r="M7" s="19" t="s">
        <v>34</v>
      </c>
    </row>
    <row r="8" spans="1:70" x14ac:dyDescent="0.35">
      <c r="E8" s="19" t="s">
        <v>26</v>
      </c>
      <c r="F8" s="19" t="s">
        <v>10</v>
      </c>
      <c r="G8" s="19" t="s">
        <v>35</v>
      </c>
      <c r="H8" s="19" t="s">
        <v>36</v>
      </c>
      <c r="I8" s="19" t="s">
        <v>29</v>
      </c>
      <c r="J8" s="19" t="s">
        <v>113</v>
      </c>
      <c r="K8" s="19">
        <v>12</v>
      </c>
      <c r="L8" s="19" t="s">
        <v>37</v>
      </c>
      <c r="M8" s="19" t="s">
        <v>38</v>
      </c>
    </row>
    <row r="10" spans="1:70" ht="18.5" x14ac:dyDescent="0.35">
      <c r="A10" s="49" t="s">
        <v>71</v>
      </c>
      <c r="B10" s="49"/>
      <c r="C10" s="49"/>
    </row>
    <row r="13" spans="1:70" ht="18.5" x14ac:dyDescent="0.35">
      <c r="A13" s="49" t="s">
        <v>72</v>
      </c>
      <c r="B13" s="49"/>
      <c r="C13" s="49"/>
    </row>
    <row r="16" spans="1:70" ht="18.5" x14ac:dyDescent="0.35">
      <c r="A16" s="49" t="s">
        <v>73</v>
      </c>
      <c r="B16" s="49"/>
      <c r="C16" s="49"/>
    </row>
    <row r="19" spans="1:3" ht="18.5" x14ac:dyDescent="0.35">
      <c r="A19" s="49" t="s">
        <v>74</v>
      </c>
      <c r="B19" s="49"/>
      <c r="C19" s="49"/>
    </row>
  </sheetData>
  <mergeCells count="6">
    <mergeCell ref="A19:C19"/>
    <mergeCell ref="E1:BR1"/>
    <mergeCell ref="A7:C7"/>
    <mergeCell ref="A10:C10"/>
    <mergeCell ref="A13:C13"/>
    <mergeCell ref="A16:C16"/>
  </mergeCells>
  <hyperlinks>
    <hyperlink ref="A10:C10" location="'02_OPERACIONAL'!A1" display="Operacional" xr:uid="{0A413A57-F100-4347-9859-B751E33FE2A4}"/>
    <hyperlink ref="A13:C13" location="'03_DETALHAMENTO'!A1" display="Detalhamento" xr:uid="{93A6A618-187B-4448-ACDC-309935335293}"/>
    <hyperlink ref="A16:C16" location="'04_INDICADORES'!A1" display="Indicadores" xr:uid="{B7869FAE-CAB7-4F5F-A765-E8B35C178E75}"/>
    <hyperlink ref="A19:C19" location="'05_BASE'!A1" display="Base" xr:uid="{803FDA1D-7952-48FF-B48D-07050BCDF5C1}"/>
    <hyperlink ref="A7:C7" location="'01_RESUMO'!A1" display="Resumo" xr:uid="{D20DC03A-0EF6-42E4-A37B-D25E81960F4E}"/>
  </hyperlink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D97A"/>
  </sheetPr>
  <dimension ref="A1:J12"/>
  <sheetViews>
    <sheetView showGridLines="0" zoomScale="90" workbookViewId="0">
      <pane ySplit="4" topLeftCell="A5" activePane="bottomLeft" state="frozen"/>
      <selection pane="bottomLeft" activeCell="B13" sqref="B13"/>
    </sheetView>
  </sheetViews>
  <sheetFormatPr defaultRowHeight="14.5" x14ac:dyDescent="0.35"/>
  <cols>
    <col min="1" max="1" width="28" customWidth="1"/>
    <col min="2" max="2" width="35" customWidth="1"/>
    <col min="3" max="10" width="18" customWidth="1"/>
  </cols>
  <sheetData>
    <row r="1" spans="1:10" ht="23.5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8.5" x14ac:dyDescent="0.45">
      <c r="A2" s="3" t="s">
        <v>56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5" t="s">
        <v>1</v>
      </c>
    </row>
    <row r="5" spans="1:10" x14ac:dyDescent="0.35">
      <c r="A5" s="11" t="s">
        <v>57</v>
      </c>
      <c r="B5" s="11" t="s">
        <v>58</v>
      </c>
    </row>
    <row r="6" spans="1:10" x14ac:dyDescent="0.35">
      <c r="A6" s="10" t="s">
        <v>59</v>
      </c>
      <c r="B6" s="10" t="s">
        <v>60</v>
      </c>
    </row>
    <row r="7" spans="1:10" x14ac:dyDescent="0.35">
      <c r="A7" s="10" t="s">
        <v>61</v>
      </c>
      <c r="B7" s="10" t="s">
        <v>94</v>
      </c>
    </row>
    <row r="8" spans="1:10" x14ac:dyDescent="0.35">
      <c r="A8" s="10" t="s">
        <v>62</v>
      </c>
      <c r="B8" s="10" t="s">
        <v>63</v>
      </c>
    </row>
    <row r="9" spans="1:10" x14ac:dyDescent="0.35">
      <c r="A9" s="10" t="s">
        <v>64</v>
      </c>
      <c r="B9" s="10" t="s">
        <v>26</v>
      </c>
    </row>
    <row r="10" spans="1:10" x14ac:dyDescent="0.35">
      <c r="A10" s="10" t="s">
        <v>65</v>
      </c>
      <c r="B10" s="10" t="s">
        <v>66</v>
      </c>
    </row>
    <row r="11" spans="1:10" x14ac:dyDescent="0.35">
      <c r="A11" s="10" t="s">
        <v>67</v>
      </c>
      <c r="B11" s="10" t="s">
        <v>68</v>
      </c>
    </row>
    <row r="12" spans="1:10" x14ac:dyDescent="0.35">
      <c r="A12" s="10" t="s">
        <v>69</v>
      </c>
      <c r="B12" s="60">
        <v>46309.5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01_RESUMO</vt:lpstr>
      <vt:lpstr>02_OPERACIONAL</vt:lpstr>
      <vt:lpstr>03_DETALHAMENTO</vt:lpstr>
      <vt:lpstr>04_INDICADORES</vt:lpstr>
      <vt:lpstr>05_BASE</vt:lpstr>
      <vt:lpstr>00_CONFIG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Evelim Jaqueline Milano Esquetini</cp:lastModifiedBy>
  <dcterms:created xsi:type="dcterms:W3CDTF">2026-09-03T18:53:28Z</dcterms:created>
  <dcterms:modified xsi:type="dcterms:W3CDTF">2026-10-14T15:24:17Z</dcterms:modified>
</cp:coreProperties>
</file>