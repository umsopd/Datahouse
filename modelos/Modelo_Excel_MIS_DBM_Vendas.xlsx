
<file path=[Content_Types].xml><?xml version="1.0" encoding="utf-8"?>
<Types xmlns="http://schemas.openxmlformats.org/package/2006/content-types">
  <Default Extension="jfif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velim.esquetini\Desktop\Projetos\Projeto MIS\"/>
    </mc:Choice>
  </mc:AlternateContent>
  <xr:revisionPtr revIDLastSave="0" documentId="13_ncr:1_{5C757E55-F9D3-43A0-ABA5-CCC596BCFB57}" xr6:coauthVersionLast="47" xr6:coauthVersionMax="47" xr10:uidLastSave="{00000000-0000-0000-0000-000000000000}"/>
  <bookViews>
    <workbookView xWindow="-28920" yWindow="30" windowWidth="29040" windowHeight="15720" tabRatio="517" xr2:uid="{00000000-000D-0000-FFFF-FFFF00000000}"/>
  </bookViews>
  <sheets>
    <sheet name="01_RESUMO" sheetId="1" r:id="rId1"/>
    <sheet name="02_OPERACIONAL" sheetId="2" r:id="rId2"/>
    <sheet name="03_DETALHAMENTO" sheetId="3" r:id="rId3"/>
    <sheet name="04_INDICADORES" sheetId="4" r:id="rId4"/>
    <sheet name="05_BASE" sheetId="5" r:id="rId5"/>
    <sheet name="00_CONFIG" sheetId="6" r:id="rId6"/>
  </sheets>
  <calcPr calcId="181029"/>
</workbook>
</file>

<file path=xl/calcChain.xml><?xml version="1.0" encoding="utf-8"?>
<calcChain xmlns="http://schemas.openxmlformats.org/spreadsheetml/2006/main">
  <c r="G39" i="1" l="1"/>
  <c r="G38" i="1"/>
  <c r="I40" i="2"/>
  <c r="H40" i="2"/>
  <c r="G40" i="2"/>
  <c r="F40" i="2"/>
  <c r="N17" i="2"/>
  <c r="N7" i="2"/>
  <c r="N8" i="2"/>
  <c r="N9" i="2"/>
  <c r="N10" i="2"/>
  <c r="N11" i="2"/>
  <c r="N12" i="2"/>
  <c r="N13" i="2"/>
  <c r="N14" i="2"/>
  <c r="N15" i="2"/>
  <c r="N16" i="2"/>
  <c r="J16" i="2"/>
  <c r="J15" i="2"/>
  <c r="J14" i="2"/>
  <c r="J13" i="2"/>
  <c r="J12" i="2"/>
  <c r="J10" i="2"/>
  <c r="J11" i="2"/>
  <c r="J9" i="2"/>
  <c r="J7" i="2"/>
  <c r="J8" i="2"/>
  <c r="J6" i="2"/>
  <c r="N6" i="2"/>
  <c r="M7" i="2"/>
  <c r="M8" i="2"/>
  <c r="M9" i="2"/>
  <c r="M10" i="2"/>
  <c r="M11" i="2"/>
  <c r="M12" i="2"/>
  <c r="M13" i="2"/>
  <c r="M14" i="2"/>
  <c r="M15" i="2"/>
  <c r="M16" i="2"/>
  <c r="M6" i="2"/>
  <c r="L7" i="2"/>
  <c r="L8" i="2"/>
  <c r="L9" i="2"/>
  <c r="L10" i="2"/>
  <c r="L11" i="2"/>
  <c r="L12" i="2"/>
  <c r="L13" i="2"/>
  <c r="L14" i="2"/>
  <c r="L15" i="2"/>
  <c r="L16" i="2"/>
  <c r="L6" i="2"/>
  <c r="H17" i="2"/>
  <c r="H14" i="2"/>
  <c r="H15" i="2"/>
  <c r="H16" i="2"/>
  <c r="H13" i="2"/>
  <c r="H10" i="2"/>
  <c r="H11" i="2"/>
  <c r="H12" i="2"/>
  <c r="H9" i="2"/>
  <c r="H7" i="2"/>
  <c r="H8" i="2"/>
  <c r="H6" i="2"/>
  <c r="K7" i="2"/>
  <c r="K8" i="2"/>
  <c r="K9" i="2"/>
  <c r="K10" i="2"/>
  <c r="K11" i="2"/>
  <c r="K12" i="2"/>
  <c r="K13" i="2"/>
  <c r="K14" i="2"/>
  <c r="K15" i="2"/>
  <c r="K16" i="2"/>
  <c r="K6" i="2"/>
  <c r="O7" i="2"/>
  <c r="O8" i="2"/>
  <c r="O9" i="2"/>
  <c r="O10" i="2"/>
  <c r="O11" i="2"/>
  <c r="O12" i="2"/>
  <c r="O13" i="2"/>
  <c r="O14" i="2"/>
  <c r="O15" i="2"/>
  <c r="O16" i="2"/>
  <c r="O6" i="2"/>
  <c r="J39" i="2"/>
  <c r="Q4" i="1"/>
  <c r="L3" i="1"/>
  <c r="I3" i="1"/>
  <c r="G3" i="1"/>
  <c r="G17" i="2"/>
  <c r="I17" i="2"/>
  <c r="F17" i="2"/>
  <c r="G40" i="1" l="1"/>
  <c r="Q35" i="1" s="1"/>
  <c r="J17" i="2"/>
  <c r="N17" i="1"/>
  <c r="L17" i="2"/>
  <c r="R17" i="1" s="1"/>
  <c r="K17" i="2"/>
  <c r="P17" i="1" s="1"/>
  <c r="M17" i="2"/>
  <c r="T17" i="1" s="1"/>
  <c r="J40" i="2" l="1"/>
</calcChain>
</file>

<file path=xl/sharedStrings.xml><?xml version="1.0" encoding="utf-8"?>
<sst xmlns="http://schemas.openxmlformats.org/spreadsheetml/2006/main" count="238" uniqueCount="149">
  <si>
    <t>DBM | MIS</t>
  </si>
  <si>
    <t>Cliente: Banco X   |   Operação: Cobrança   |   Período: 01/09/2026 a 03/09/2026</t>
  </si>
  <si>
    <t>INDICADORES</t>
  </si>
  <si>
    <t>Indicador</t>
  </si>
  <si>
    <t>Resultado</t>
  </si>
  <si>
    <t>Meta</t>
  </si>
  <si>
    <t>Atingimento</t>
  </si>
  <si>
    <t>Hora</t>
  </si>
  <si>
    <t>Alô</t>
  </si>
  <si>
    <t>08h</t>
  </si>
  <si>
    <t>09h</t>
  </si>
  <si>
    <t>10h</t>
  </si>
  <si>
    <t>11h</t>
  </si>
  <si>
    <t>12h</t>
  </si>
  <si>
    <t>13h</t>
  </si>
  <si>
    <t>ACOMPANHAMENTO OPERACIONAL</t>
  </si>
  <si>
    <t>TMA</t>
  </si>
  <si>
    <t>00:02:31</t>
  </si>
  <si>
    <t>DETALHAMENTO OPERACIONAL</t>
  </si>
  <si>
    <t>Data</t>
  </si>
  <si>
    <t>Operador</t>
  </si>
  <si>
    <t>Equipe</t>
  </si>
  <si>
    <t>Tabulação</t>
  </si>
  <si>
    <t>Subtabulação</t>
  </si>
  <si>
    <t>TME</t>
  </si>
  <si>
    <t>03/09/2026</t>
  </si>
  <si>
    <t>Operador A</t>
  </si>
  <si>
    <t>Equipe 01</t>
  </si>
  <si>
    <t>SUCESSO</t>
  </si>
  <si>
    <t>00:00:12</t>
  </si>
  <si>
    <t>Operador B</t>
  </si>
  <si>
    <t>Equipe 02</t>
  </si>
  <si>
    <t>00:03:04</t>
  </si>
  <si>
    <t>00:00:18</t>
  </si>
  <si>
    <t>Operador C</t>
  </si>
  <si>
    <t>Equipe 03</t>
  </si>
  <si>
    <t>00:02:45</t>
  </si>
  <si>
    <t>00:00:15</t>
  </si>
  <si>
    <t>DICIONÁRIO DE INDICADORES</t>
  </si>
  <si>
    <t>Definição</t>
  </si>
  <si>
    <t>Fórmula / Regra</t>
  </si>
  <si>
    <t>Unidade</t>
  </si>
  <si>
    <t>Fonte</t>
  </si>
  <si>
    <t>Soma de Qtde</t>
  </si>
  <si>
    <t>Volume</t>
  </si>
  <si>
    <t>SQL</t>
  </si>
  <si>
    <t>MIS</t>
  </si>
  <si>
    <t>Contato efetivo</t>
  </si>
  <si>
    <t>Regra de Alô homologada</t>
  </si>
  <si>
    <t>%</t>
  </si>
  <si>
    <t>Tempo médio de atendimento</t>
  </si>
  <si>
    <t>Média do tempo de atendimento</t>
  </si>
  <si>
    <t>Tempo</t>
  </si>
  <si>
    <t>BASE | DADOS TÉCNICOS</t>
  </si>
  <si>
    <t>Qtde</t>
  </si>
  <si>
    <t>CONFIGURAÇÃO | USO INTERNO MIS</t>
  </si>
  <si>
    <t>Campo</t>
  </si>
  <si>
    <t>Valor</t>
  </si>
  <si>
    <t>Cliente</t>
  </si>
  <si>
    <t>Banco X</t>
  </si>
  <si>
    <t>Operação</t>
  </si>
  <si>
    <t>Período Inicial</t>
  </si>
  <si>
    <t>01/09/2026</t>
  </si>
  <si>
    <t>Período Final</t>
  </si>
  <si>
    <t>Responsável MIS</t>
  </si>
  <si>
    <t>Nome do Analista</t>
  </si>
  <si>
    <t>Versão</t>
  </si>
  <si>
    <t>v1.0</t>
  </si>
  <si>
    <t>Última Atualização</t>
  </si>
  <si>
    <t>Resumo</t>
  </si>
  <si>
    <t>Operacional</t>
  </si>
  <si>
    <t>Detalhamento</t>
  </si>
  <si>
    <t>Indicadores</t>
  </si>
  <si>
    <t>Base</t>
  </si>
  <si>
    <t>Data da Extração</t>
  </si>
  <si>
    <t>14h</t>
  </si>
  <si>
    <t>15h</t>
  </si>
  <si>
    <t>16h</t>
  </si>
  <si>
    <t>17h</t>
  </si>
  <si>
    <t>18h</t>
  </si>
  <si>
    <t>TOTAL</t>
  </si>
  <si>
    <t>Tempo médio de espera</t>
  </si>
  <si>
    <t>Média Espera</t>
  </si>
  <si>
    <t>Observações</t>
  </si>
  <si>
    <t>Formato hh:mm:ss</t>
  </si>
  <si>
    <t>Cliente:</t>
  </si>
  <si>
    <t>RELATÓRIO</t>
  </si>
  <si>
    <t>Operação:</t>
  </si>
  <si>
    <t>Período:</t>
  </si>
  <si>
    <t>OPERACIONAL</t>
  </si>
  <si>
    <t>Realizado</t>
  </si>
  <si>
    <t>% Atingimento</t>
  </si>
  <si>
    <t>Meta%</t>
  </si>
  <si>
    <t>TAXAS DE ATENDIMENTO</t>
  </si>
  <si>
    <t>Atendidas</t>
  </si>
  <si>
    <t>Alteração Cadastral</t>
  </si>
  <si>
    <t>Volume de chamadas efetivamente atendidas por operadores.</t>
  </si>
  <si>
    <t>Vendas</t>
  </si>
  <si>
    <t>Cliente: Banco X   |   Operação: Vendas  |   Período: 01/09/2026 a 03/09/2026</t>
  </si>
  <si>
    <t>Cliente: Banco X   |   Operação: Vendas   |   Período: 01/09/2026 a 03/09/2026</t>
  </si>
  <si>
    <t>Leads / Contatos</t>
  </si>
  <si>
    <t>Total de novos leads recebidos / carregados na base.</t>
  </si>
  <si>
    <t>Oportunidades</t>
  </si>
  <si>
    <t>Leads qualificados pelo operador (demonstraram interesse real).</t>
  </si>
  <si>
    <t>Propostas Enviadas</t>
  </si>
  <si>
    <t>Orçamentos ou propostas formais apresentadas aos clientes.</t>
  </si>
  <si>
    <t>Vendas Realizadas</t>
  </si>
  <si>
    <t>Total de negócios fechados / contratos assinados.</t>
  </si>
  <si>
    <t>Total de Vendas / Total de Leads (ou % Alô → Vendas).</t>
  </si>
  <si>
    <t>Total de Vendas / Total de Leads</t>
  </si>
  <si>
    <t>Inclui todos os contratos ativos para discagem</t>
  </si>
  <si>
    <t>Volume de chamadas com status de Proposta</t>
  </si>
  <si>
    <t>Volume de chamadas com status de interesse</t>
  </si>
  <si>
    <t>Conversão %</t>
  </si>
  <si>
    <t>Status definidos</t>
  </si>
  <si>
    <t>Volume de Propostas Fechadas</t>
  </si>
  <si>
    <t>Receita Total</t>
  </si>
  <si>
    <t>Ticket Médio</t>
  </si>
  <si>
    <t>Total de Vendas × Ticket Médio</t>
  </si>
  <si>
    <t>Faturamento bruto gerado no período</t>
  </si>
  <si>
    <t>Receita Total / Total de Vendas</t>
  </si>
  <si>
    <t>Valor médio por venda</t>
  </si>
  <si>
    <t>Tentativas</t>
  </si>
  <si>
    <t>Propostas</t>
  </si>
  <si>
    <t>Vendas Fechadas</t>
  </si>
  <si>
    <t>% Alô</t>
  </si>
  <si>
    <t>Qualificação</t>
  </si>
  <si>
    <t>Oportunidade</t>
  </si>
  <si>
    <t>% Qualificação</t>
  </si>
  <si>
    <t>% Apresentação</t>
  </si>
  <si>
    <t>Oportunidades / Alô</t>
  </si>
  <si>
    <t>% de alô que demonstrou interesse</t>
  </si>
  <si>
    <t>Apresentação</t>
  </si>
  <si>
    <t>Propostas / Oportunidades</t>
  </si>
  <si>
    <t>% de oportunidades que receberam oferta</t>
  </si>
  <si>
    <t>Fechamento (Win Rate)</t>
  </si>
  <si>
    <t>Vendas / Propostas</t>
  </si>
  <si>
    <t>$</t>
  </si>
  <si>
    <t>% de propostas que viraram venda</t>
  </si>
  <si>
    <t>Win Rate</t>
  </si>
  <si>
    <t>% Win Rate</t>
  </si>
  <si>
    <t>Meta x Realizado</t>
  </si>
  <si>
    <t>Canal / Produto / Operador</t>
  </si>
  <si>
    <t>Leads</t>
  </si>
  <si>
    <t>Outbound / Discador</t>
  </si>
  <si>
    <t>Inbound / Receptivo</t>
  </si>
  <si>
    <t>WhatsApp / Bot</t>
  </si>
  <si>
    <t>Proposta Enviada</t>
  </si>
  <si>
    <t>Venda Concluída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</si>
</sst>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70" formatCode="&quot;R$&quot;\ #,##0.00"/>
  </numFmts>
  <fonts count="2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4"/>
      <color rgb="FF04503F"/>
      <name val="Calibri"/>
    </font>
    <font>
      <sz val="10"/>
      <color rgb="FF666666"/>
      <name val="Calibri"/>
    </font>
    <font>
      <b/>
      <sz val="12"/>
      <color rgb="FF04503F"/>
      <name val="Calibri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theme="6" tint="0.79998168889431442"/>
      <name val="Calibri"/>
      <family val="2"/>
      <scheme val="minor"/>
    </font>
    <font>
      <b/>
      <sz val="18"/>
      <color rgb="FFFFFFFF"/>
      <name val="Calibri"/>
      <family val="2"/>
    </font>
    <font>
      <b/>
      <sz val="14"/>
      <color rgb="FF04503F"/>
      <name val="Calibri"/>
      <family val="2"/>
    </font>
    <font>
      <sz val="10"/>
      <color rgb="FF666666"/>
      <name val="Calibri"/>
      <family val="2"/>
    </font>
    <font>
      <b/>
      <sz val="10"/>
      <color rgb="FF666666"/>
      <name val="Calibri"/>
      <family val="2"/>
    </font>
    <font>
      <b/>
      <sz val="11"/>
      <color rgb="FF666666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A4A48"/>
      <name val="Calibri"/>
      <family val="2"/>
      <scheme val="minor"/>
    </font>
    <font>
      <b/>
      <sz val="10"/>
      <color rgb="FF0A4A48"/>
      <name val="Calibri"/>
      <family val="2"/>
    </font>
    <font>
      <b/>
      <sz val="12"/>
      <color rgb="FF04503F"/>
      <name val="Calibri"/>
      <family val="2"/>
    </font>
    <font>
      <b/>
      <sz val="24"/>
      <color rgb="FF0A4A48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FF0000"/>
      <name val="Calibri"/>
      <family val="2"/>
      <scheme val="minor"/>
    </font>
    <font>
      <b/>
      <sz val="10"/>
      <color rgb="FFFFFFFF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4503F"/>
      </patternFill>
    </fill>
    <fill>
      <patternFill patternType="solid">
        <fgColor rgb="FFFFFFFF"/>
      </patternFill>
    </fill>
    <fill>
      <patternFill patternType="solid">
        <fgColor rgb="FF02754F"/>
      </patternFill>
    </fill>
    <fill>
      <patternFill patternType="solid">
        <fgColor rgb="FF0A4A48"/>
        <bgColor indexed="64"/>
      </patternFill>
    </fill>
    <fill>
      <patternFill patternType="solid">
        <fgColor rgb="FF06705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E3E1"/>
      </bottom>
      <diagonal/>
    </border>
  </borders>
  <cellStyleXfs count="2">
    <xf numFmtId="0" fontId="0" fillId="0" borderId="0"/>
    <xf numFmtId="44" fontId="25" fillId="0" borderId="0" applyFont="0" applyFill="0" applyBorder="0" applyAlignment="0" applyProtection="0"/>
  </cellStyleXfs>
  <cellXfs count="59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3" fillId="0" borderId="0" xfId="0" applyFont="1"/>
    <xf numFmtId="0" fontId="4" fillId="0" borderId="0" xfId="0" applyFont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/>
    <xf numFmtId="0" fontId="5" fillId="4" borderId="1" xfId="0" applyFont="1" applyFill="1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5" borderId="0" xfId="0" applyFill="1"/>
    <xf numFmtId="0" fontId="5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1" fillId="5" borderId="0" xfId="0" applyFont="1" applyFill="1"/>
    <xf numFmtId="0" fontId="1" fillId="5" borderId="0" xfId="0" applyFont="1" applyFill="1"/>
    <xf numFmtId="0" fontId="12" fillId="3" borderId="0" xfId="0" applyFont="1" applyFill="1" applyAlignment="1">
      <alignment vertical="center"/>
    </xf>
    <xf numFmtId="0" fontId="13" fillId="0" borderId="0" xfId="0" applyFont="1"/>
    <xf numFmtId="3" fontId="0" fillId="0" borderId="0" xfId="0" applyNumberFormat="1"/>
    <xf numFmtId="3" fontId="0" fillId="0" borderId="1" xfId="0" applyNumberFormat="1" applyBorder="1" applyAlignment="1">
      <alignment horizontal="center" vertical="center"/>
    </xf>
    <xf numFmtId="3" fontId="5" fillId="5" borderId="0" xfId="0" applyNumberFormat="1" applyFont="1" applyFill="1" applyAlignment="1">
      <alignment horizontal="center"/>
    </xf>
    <xf numFmtId="10" fontId="5" fillId="5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9" fillId="5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6" fillId="3" borderId="0" xfId="0" applyFont="1" applyFill="1"/>
    <xf numFmtId="0" fontId="14" fillId="0" borderId="0" xfId="0" applyFont="1" applyAlignment="1">
      <alignment horizontal="right"/>
    </xf>
    <xf numFmtId="0" fontId="12" fillId="3" borderId="0" xfId="0" applyFont="1" applyFill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0" borderId="0" xfId="0" applyFont="1"/>
    <xf numFmtId="10" fontId="0" fillId="0" borderId="0" xfId="0" applyNumberFormat="1" applyAlignment="1">
      <alignment horizontal="center"/>
    </xf>
    <xf numFmtId="10" fontId="7" fillId="0" borderId="0" xfId="0" applyNumberFormat="1" applyFont="1" applyAlignment="1">
      <alignment horizontal="center" vertical="center"/>
    </xf>
    <xf numFmtId="0" fontId="7" fillId="0" borderId="0" xfId="0" applyFont="1"/>
    <xf numFmtId="0" fontId="22" fillId="0" borderId="0" xfId="0" applyFont="1" applyAlignment="1">
      <alignment horizontal="center"/>
    </xf>
    <xf numFmtId="10" fontId="7" fillId="0" borderId="0" xfId="0" applyNumberFormat="1" applyFont="1"/>
    <xf numFmtId="0" fontId="23" fillId="0" borderId="0" xfId="0" applyFont="1"/>
    <xf numFmtId="0" fontId="24" fillId="5" borderId="0" xfId="0" applyFont="1" applyFill="1" applyAlignment="1">
      <alignment horizontal="center"/>
    </xf>
    <xf numFmtId="0" fontId="0" fillId="0" borderId="1" xfId="0" applyBorder="1" applyAlignment="1">
      <alignment vertical="center"/>
    </xf>
    <xf numFmtId="22" fontId="0" fillId="0" borderId="1" xfId="0" applyNumberFormat="1" applyBorder="1"/>
    <xf numFmtId="0" fontId="10" fillId="6" borderId="0" xfId="0" applyFont="1" applyFill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 vertical="center"/>
    </xf>
    <xf numFmtId="22" fontId="15" fillId="0" borderId="0" xfId="0" applyNumberFormat="1" applyFont="1" applyAlignment="1">
      <alignment horizontal="left"/>
    </xf>
    <xf numFmtId="10" fontId="8" fillId="0" borderId="0" xfId="0" applyNumberFormat="1" applyFont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1" fillId="5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0" fillId="0" borderId="1" xfId="0" applyBorder="1" applyAlignment="1">
      <alignment horizontal="left" vertical="center"/>
    </xf>
    <xf numFmtId="170" fontId="0" fillId="0" borderId="1" xfId="1" applyNumberFormat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0A4A48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0A4A48"/>
      <color rgb="FF067059"/>
      <color rgb="FF04503F"/>
      <color rgb="FF409A6F"/>
      <color rgb="FF52B788"/>
      <color rgb="FF38EF7D"/>
      <color rgb="FF2EC4B6"/>
      <color rgb="FF0F5351"/>
      <color rgb="FF078B6F"/>
      <color rgb="FF09B3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'02_OPERACIONAL'!$F$5</c:f>
              <c:strCache>
                <c:ptCount val="1"/>
                <c:pt idx="0">
                  <c:v>Tentativas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58000"/>
                </a:schemeClr>
              </a:solidFill>
              <a:ln w="9525" cap="flat" cmpd="sng" algn="ctr">
                <a:solidFill>
                  <a:schemeClr val="accent3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'02_OPERACIONAL'!$F$6:$F$16</c:f>
              <c:numCache>
                <c:formatCode>#,##0</c:formatCode>
                <c:ptCount val="11"/>
                <c:pt idx="0">
                  <c:v>200</c:v>
                </c:pt>
                <c:pt idx="1">
                  <c:v>722</c:v>
                </c:pt>
                <c:pt idx="2">
                  <c:v>900</c:v>
                </c:pt>
                <c:pt idx="3">
                  <c:v>1300</c:v>
                </c:pt>
                <c:pt idx="4">
                  <c:v>1820</c:v>
                </c:pt>
                <c:pt idx="5">
                  <c:v>1750</c:v>
                </c:pt>
                <c:pt idx="6">
                  <c:v>1820</c:v>
                </c:pt>
                <c:pt idx="7">
                  <c:v>1740</c:v>
                </c:pt>
                <c:pt idx="8">
                  <c:v>1100</c:v>
                </c:pt>
                <c:pt idx="9">
                  <c:v>941</c:v>
                </c:pt>
                <c:pt idx="10">
                  <c:v>596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9E-438E-9FF1-EFBE37E887BA}"/>
            </c:ext>
          </c:extLst>
        </c:ser>
        <c:ser>
          <c:idx val="1"/>
          <c:order val="1"/>
          <c:tx>
            <c:strRef>
              <c:f>'02_OPERACIONAL'!$G$5</c:f>
              <c:strCache>
                <c:ptCount val="1"/>
                <c:pt idx="0">
                  <c:v>Alô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86000"/>
                </a:schemeClr>
              </a:solidFill>
              <a:ln w="9525" cap="flat" cmpd="sng" algn="ctr">
                <a:solidFill>
                  <a:schemeClr val="accent3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'02_OPERACIONAL'!$G$6:$G$16</c:f>
              <c:numCache>
                <c:formatCode>#,##0</c:formatCode>
                <c:ptCount val="11"/>
                <c:pt idx="0">
                  <c:v>182</c:v>
                </c:pt>
                <c:pt idx="1">
                  <c:v>612</c:v>
                </c:pt>
                <c:pt idx="2">
                  <c:v>812</c:v>
                </c:pt>
                <c:pt idx="3">
                  <c:v>1150</c:v>
                </c:pt>
                <c:pt idx="4">
                  <c:v>1520</c:v>
                </c:pt>
                <c:pt idx="5">
                  <c:v>1630</c:v>
                </c:pt>
                <c:pt idx="6">
                  <c:v>1520</c:v>
                </c:pt>
                <c:pt idx="7">
                  <c:v>1420</c:v>
                </c:pt>
                <c:pt idx="8">
                  <c:v>1080</c:v>
                </c:pt>
                <c:pt idx="9">
                  <c:v>760</c:v>
                </c:pt>
                <c:pt idx="10">
                  <c:v>494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A9E-438E-9FF1-EFBE37E887BA}"/>
            </c:ext>
          </c:extLst>
        </c:ser>
        <c:ser>
          <c:idx val="2"/>
          <c:order val="2"/>
          <c:tx>
            <c:strRef>
              <c:f>'02_OPERACIONAL'!$I$5</c:f>
              <c:strCache>
                <c:ptCount val="1"/>
                <c:pt idx="0">
                  <c:v>Propostas</c:v>
                </c:pt>
              </c:strCache>
            </c:strRef>
          </c:tx>
          <c:spPr>
            <a:ln w="28575" cap="rnd" cmpd="sng" algn="ctr">
              <a:solidFill>
                <a:schemeClr val="accent3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tint val="86000"/>
                </a:schemeClr>
              </a:solidFill>
              <a:ln w="9525" cap="flat" cmpd="sng" algn="ctr">
                <a:solidFill>
                  <a:schemeClr val="accent3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'02_OPERACIONAL'!$I$6:$I$16</c:f>
              <c:numCache>
                <c:formatCode>#,##0</c:formatCode>
                <c:ptCount val="11"/>
                <c:pt idx="0">
                  <c:v>42</c:v>
                </c:pt>
                <c:pt idx="1">
                  <c:v>143</c:v>
                </c:pt>
                <c:pt idx="2">
                  <c:v>194</c:v>
                </c:pt>
                <c:pt idx="3">
                  <c:v>276</c:v>
                </c:pt>
                <c:pt idx="4">
                  <c:v>368</c:v>
                </c:pt>
                <c:pt idx="5">
                  <c:v>392</c:v>
                </c:pt>
                <c:pt idx="6">
                  <c:v>360</c:v>
                </c:pt>
                <c:pt idx="7">
                  <c:v>334</c:v>
                </c:pt>
                <c:pt idx="8">
                  <c:v>258</c:v>
                </c:pt>
                <c:pt idx="9">
                  <c:v>174</c:v>
                </c:pt>
                <c:pt idx="10">
                  <c:v>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9E-438E-9FF1-EFBE37E887BA}"/>
            </c:ext>
          </c:extLst>
        </c:ser>
        <c:ser>
          <c:idx val="3"/>
          <c:order val="3"/>
          <c:tx>
            <c:strRef>
              <c:f>'02_OPERACIONAL'!$J$5</c:f>
              <c:strCache>
                <c:ptCount val="1"/>
                <c:pt idx="0">
                  <c:v>Vendas Fechadas</c:v>
                </c:pt>
              </c:strCache>
            </c:strRef>
          </c:tx>
          <c:spPr>
            <a:ln w="28575" cap="rnd" cmpd="sng" algn="ctr">
              <a:solidFill>
                <a:schemeClr val="accent3">
                  <a:tint val="58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9525" cap="flat" cmpd="sng" algn="ctr">
                <a:solidFill>
                  <a:schemeClr val="accent3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'02_OPERACIONAL'!$J$6:$J$16</c:f>
              <c:numCache>
                <c:formatCode>#,##0</c:formatCode>
                <c:ptCount val="11"/>
                <c:pt idx="0">
                  <c:v>22</c:v>
                </c:pt>
                <c:pt idx="1">
                  <c:v>123</c:v>
                </c:pt>
                <c:pt idx="2">
                  <c:v>174</c:v>
                </c:pt>
                <c:pt idx="3">
                  <c:v>252</c:v>
                </c:pt>
                <c:pt idx="4">
                  <c:v>344</c:v>
                </c:pt>
                <c:pt idx="5">
                  <c:v>368</c:v>
                </c:pt>
                <c:pt idx="6">
                  <c:v>326</c:v>
                </c:pt>
                <c:pt idx="7">
                  <c:v>300</c:v>
                </c:pt>
                <c:pt idx="8">
                  <c:v>211</c:v>
                </c:pt>
                <c:pt idx="9">
                  <c:v>127</c:v>
                </c:pt>
                <c:pt idx="10">
                  <c:v>107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A9E-438E-9FF1-EFBE37E887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doughnutChart>
        <c:varyColors val="1"/>
        <c:ser>
          <c:idx val="1"/>
          <c:order val="0"/>
          <c:tx>
            <c:strRef>
              <c:f>'02_OPERACIONAL'!$F$38</c:f>
              <c:strCache>
                <c:ptCount val="1"/>
                <c:pt idx="0">
                  <c:v>% Alô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dPt>
            <c:idx val="0"/>
            <c:bubble3D val="0"/>
            <c:spPr>
              <a:gradFill>
                <a:gsLst>
                  <a:gs pos="0">
                    <a:schemeClr val="accent3">
                      <a:lumMod val="20000"/>
                      <a:lumOff val="80000"/>
                    </a:schemeClr>
                  </a:gs>
                  <a:gs pos="74000">
                    <a:schemeClr val="accent3">
                      <a:lumMod val="40000"/>
                      <a:lumOff val="60000"/>
                    </a:schemeClr>
                  </a:gs>
                  <a:gs pos="83000">
                    <a:schemeClr val="accent3">
                      <a:lumMod val="20000"/>
                      <a:lumOff val="80000"/>
                    </a:schemeClr>
                  </a:gs>
                  <a:gs pos="100000">
                    <a:schemeClr val="accent3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09F6-4BE8-B8E3-D198B599AD0F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0F-4BDC-B903-36DBE172001D}"/>
              </c:ext>
            </c:extLst>
          </c:dPt>
          <c:cat>
            <c:strRef>
              <c:f>'02_OPERACIONAL'!$E$39:$E$40</c:f>
              <c:strCache>
                <c:ptCount val="2"/>
                <c:pt idx="0">
                  <c:v>Meta</c:v>
                </c:pt>
                <c:pt idx="1">
                  <c:v>Realizado</c:v>
                </c:pt>
              </c:strCache>
            </c:strRef>
          </c:cat>
          <c:val>
            <c:numRef>
              <c:f>'02_OPERACIONAL'!$F$39:$F$40</c:f>
              <c:numCache>
                <c:formatCode>0.00%</c:formatCode>
                <c:ptCount val="2"/>
                <c:pt idx="0">
                  <c:v>0.99</c:v>
                </c:pt>
                <c:pt idx="1">
                  <c:v>0.8709692644405983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9F6-4BE8-B8E3-D198B599A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'02_OPERACIONAL'!$G$38</c:f>
              <c:strCache>
                <c:ptCount val="1"/>
                <c:pt idx="0">
                  <c:v>% Qualificação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dPt>
            <c:idx val="0"/>
            <c:bubble3D val="0"/>
            <c:spPr>
              <a:gradFill>
                <a:gsLst>
                  <a:gs pos="0">
                    <a:schemeClr val="accent3">
                      <a:lumMod val="20000"/>
                      <a:lumOff val="80000"/>
                    </a:schemeClr>
                  </a:gs>
                  <a:gs pos="74000">
                    <a:schemeClr val="accent3">
                      <a:lumMod val="40000"/>
                      <a:lumOff val="60000"/>
                    </a:schemeClr>
                  </a:gs>
                  <a:gs pos="83000">
                    <a:schemeClr val="accent3">
                      <a:lumMod val="20000"/>
                      <a:lumOff val="80000"/>
                    </a:schemeClr>
                  </a:gs>
                  <a:gs pos="100000">
                    <a:schemeClr val="accent3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CB-4697-BB0C-020B475EEC62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CB-4697-BB0C-020B475EEC62}"/>
              </c:ext>
            </c:extLst>
          </c:dPt>
          <c:val>
            <c:numRef>
              <c:f>'02_OPERACIONAL'!$G$39:$G$40</c:f>
              <c:numCache>
                <c:formatCode>0.00%</c:formatCode>
                <c:ptCount val="2"/>
                <c:pt idx="0">
                  <c:v>0.1</c:v>
                </c:pt>
                <c:pt idx="1">
                  <c:v>0.94488217903045035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CB-4697-BB0C-020B475EE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'02_OPERACIONAL'!$H$38</c:f>
              <c:strCache>
                <c:ptCount val="1"/>
                <c:pt idx="0">
                  <c:v>% Apresentação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dPt>
            <c:idx val="0"/>
            <c:bubble3D val="0"/>
            <c:spPr>
              <a:gradFill>
                <a:gsLst>
                  <a:gs pos="0">
                    <a:schemeClr val="accent3">
                      <a:lumMod val="20000"/>
                      <a:lumOff val="80000"/>
                    </a:schemeClr>
                  </a:gs>
                  <a:gs pos="74000">
                    <a:schemeClr val="accent3">
                      <a:lumMod val="40000"/>
                      <a:lumOff val="60000"/>
                    </a:schemeClr>
                  </a:gs>
                  <a:gs pos="83000">
                    <a:schemeClr val="accent3">
                      <a:lumMod val="20000"/>
                      <a:lumOff val="80000"/>
                    </a:schemeClr>
                  </a:gs>
                  <a:gs pos="100000">
                    <a:schemeClr val="accent3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75-4AD0-8C3E-FC92C8B92237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75-4AD0-8C3E-FC92C8B92237}"/>
              </c:ext>
            </c:extLst>
          </c:dPt>
          <c:val>
            <c:numRef>
              <c:f>'02_OPERACIONAL'!$H$39:$H$40</c:f>
              <c:numCache>
                <c:formatCode>0.00%</c:formatCode>
                <c:ptCount val="2"/>
                <c:pt idx="0">
                  <c:v>0.99</c:v>
                </c:pt>
                <c:pt idx="1">
                  <c:v>0.25283298148923872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75-4AD0-8C3E-FC92C8B92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'02_OPERACIONAL'!$I$38</c:f>
              <c:strCache>
                <c:ptCount val="1"/>
                <c:pt idx="0">
                  <c:v>Win Rate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dPt>
            <c:idx val="0"/>
            <c:bubble3D val="0"/>
            <c:spPr>
              <a:gradFill>
                <a:gsLst>
                  <a:gs pos="0">
                    <a:schemeClr val="accent3">
                      <a:lumMod val="20000"/>
                      <a:lumOff val="80000"/>
                    </a:schemeClr>
                  </a:gs>
                  <a:gs pos="74000">
                    <a:schemeClr val="accent3">
                      <a:lumMod val="40000"/>
                      <a:lumOff val="60000"/>
                    </a:schemeClr>
                  </a:gs>
                  <a:gs pos="83000">
                    <a:schemeClr val="accent3">
                      <a:lumMod val="20000"/>
                      <a:lumOff val="80000"/>
                    </a:schemeClr>
                  </a:gs>
                  <a:gs pos="100000">
                    <a:schemeClr val="accent3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87-471D-80C0-B6D2751F7274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87-471D-80C0-B6D2751F7274}"/>
              </c:ext>
            </c:extLst>
          </c:dPt>
          <c:val>
            <c:numRef>
              <c:f>'02_OPERACIONAL'!$I$39:$I$40</c:f>
              <c:numCache>
                <c:formatCode>0.00%</c:formatCode>
                <c:ptCount val="2"/>
                <c:pt idx="0">
                  <c:v>1</c:v>
                </c:pt>
                <c:pt idx="1">
                  <c:v>0.84195014053179407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87-471D-80C0-B6D2751F7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'01_RESUMO'!$F$37</c:f>
              <c:strCache>
                <c:ptCount val="1"/>
                <c:pt idx="0">
                  <c:v>Meta%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 w="28575" cap="rnd" cmpd="sng" algn="ctr">
              <a:solidFill>
                <a:schemeClr val="accent3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'01_RESUMO'!$E$38</c:f>
              <c:strCache>
                <c:ptCount val="1"/>
                <c:pt idx="0">
                  <c:v>Atendidas</c:v>
                </c:pt>
              </c:strCache>
            </c:strRef>
          </c:cat>
          <c:val>
            <c:numRef>
              <c:f>'01_RESUMO'!$F$38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D-4DC4-BB7A-3CBE8C8F1C17}"/>
            </c:ext>
          </c:extLst>
        </c:ser>
        <c:ser>
          <c:idx val="1"/>
          <c:order val="1"/>
          <c:tx>
            <c:strRef>
              <c:f>'01_RESUMO'!$G$37</c:f>
              <c:strCache>
                <c:ptCount val="1"/>
                <c:pt idx="0">
                  <c:v>Atingimento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'01_RESUMO'!$E$38</c:f>
              <c:strCache>
                <c:ptCount val="1"/>
                <c:pt idx="0">
                  <c:v>Atendidas</c:v>
                </c:pt>
              </c:strCache>
            </c:strRef>
          </c:cat>
          <c:val>
            <c:numRef>
              <c:f>'01_RESUMO'!$G$38</c:f>
              <c:numCache>
                <c:formatCode>0.00%</c:formatCode>
                <c:ptCount val="1"/>
                <c:pt idx="0">
                  <c:v>0.63249999999999995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FD-4DC4-BB7A-3CBE8C8F1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0"/>
        <c:overlap val="-43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por Hora</a:t>
            </a:r>
          </a:p>
        </c:rich>
      </c:tx>
      <c:layout>
        <c:manualLayout>
          <c:xMode val="edge"/>
          <c:yMode val="edge"/>
          <c:x val="2.4700041380160666E-2"/>
          <c:y val="4.755042148666376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'02_OPERACIONAL'!$F$5</c:f>
              <c:strCache>
                <c:ptCount val="1"/>
                <c:pt idx="0">
                  <c:v>Tentativas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58000"/>
                </a:schemeClr>
              </a:solidFill>
              <a:ln w="9525" cap="flat" cmpd="sng" algn="ctr">
                <a:solidFill>
                  <a:schemeClr val="accent3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'02_OPERACIONAL'!$F$6:$F$16</c:f>
              <c:numCache>
                <c:formatCode>#,##0</c:formatCode>
                <c:ptCount val="11"/>
                <c:pt idx="0">
                  <c:v>200</c:v>
                </c:pt>
                <c:pt idx="1">
                  <c:v>722</c:v>
                </c:pt>
                <c:pt idx="2">
                  <c:v>900</c:v>
                </c:pt>
                <c:pt idx="3">
                  <c:v>1300</c:v>
                </c:pt>
                <c:pt idx="4">
                  <c:v>1820</c:v>
                </c:pt>
                <c:pt idx="5">
                  <c:v>1750</c:v>
                </c:pt>
                <c:pt idx="6">
                  <c:v>1820</c:v>
                </c:pt>
                <c:pt idx="7">
                  <c:v>1740</c:v>
                </c:pt>
                <c:pt idx="8">
                  <c:v>1100</c:v>
                </c:pt>
                <c:pt idx="9">
                  <c:v>941</c:v>
                </c:pt>
                <c:pt idx="10">
                  <c:v>596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03-441B-AFFF-878A9D107CC5}"/>
            </c:ext>
          </c:extLst>
        </c:ser>
        <c:ser>
          <c:idx val="1"/>
          <c:order val="1"/>
          <c:tx>
            <c:strRef>
              <c:f>'02_OPERACIONAL'!$G$5</c:f>
              <c:strCache>
                <c:ptCount val="1"/>
                <c:pt idx="0">
                  <c:v>Alô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86000"/>
                </a:schemeClr>
              </a:solidFill>
              <a:ln w="9525" cap="flat" cmpd="sng" algn="ctr">
                <a:solidFill>
                  <a:schemeClr val="accent3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'02_OPERACIONAL'!$G$6:$G$16</c:f>
              <c:numCache>
                <c:formatCode>#,##0</c:formatCode>
                <c:ptCount val="11"/>
                <c:pt idx="0">
                  <c:v>182</c:v>
                </c:pt>
                <c:pt idx="1">
                  <c:v>612</c:v>
                </c:pt>
                <c:pt idx="2">
                  <c:v>812</c:v>
                </c:pt>
                <c:pt idx="3">
                  <c:v>1150</c:v>
                </c:pt>
                <c:pt idx="4">
                  <c:v>1520</c:v>
                </c:pt>
                <c:pt idx="5">
                  <c:v>1630</c:v>
                </c:pt>
                <c:pt idx="6">
                  <c:v>1520</c:v>
                </c:pt>
                <c:pt idx="7">
                  <c:v>1420</c:v>
                </c:pt>
                <c:pt idx="8">
                  <c:v>1080</c:v>
                </c:pt>
                <c:pt idx="9">
                  <c:v>760</c:v>
                </c:pt>
                <c:pt idx="10">
                  <c:v>494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003-441B-AFFF-878A9D107CC5}"/>
            </c:ext>
          </c:extLst>
        </c:ser>
        <c:ser>
          <c:idx val="2"/>
          <c:order val="2"/>
          <c:tx>
            <c:strRef>
              <c:f>'02_OPERACIONAL'!$I$5</c:f>
              <c:strCache>
                <c:ptCount val="1"/>
                <c:pt idx="0">
                  <c:v>Propostas</c:v>
                </c:pt>
              </c:strCache>
            </c:strRef>
          </c:tx>
          <c:spPr>
            <a:ln w="28575" cap="rnd" cmpd="sng" algn="ctr">
              <a:solidFill>
                <a:schemeClr val="accent3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tint val="86000"/>
                </a:schemeClr>
              </a:solidFill>
              <a:ln w="9525" cap="flat" cmpd="sng" algn="ctr">
                <a:solidFill>
                  <a:schemeClr val="accent3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'02_OPERACIONAL'!$I$6:$I$16</c:f>
              <c:numCache>
                <c:formatCode>#,##0</c:formatCode>
                <c:ptCount val="11"/>
                <c:pt idx="0">
                  <c:v>42</c:v>
                </c:pt>
                <c:pt idx="1">
                  <c:v>143</c:v>
                </c:pt>
                <c:pt idx="2">
                  <c:v>194</c:v>
                </c:pt>
                <c:pt idx="3">
                  <c:v>276</c:v>
                </c:pt>
                <c:pt idx="4">
                  <c:v>368</c:v>
                </c:pt>
                <c:pt idx="5">
                  <c:v>392</c:v>
                </c:pt>
                <c:pt idx="6">
                  <c:v>360</c:v>
                </c:pt>
                <c:pt idx="7">
                  <c:v>334</c:v>
                </c:pt>
                <c:pt idx="8">
                  <c:v>258</c:v>
                </c:pt>
                <c:pt idx="9">
                  <c:v>174</c:v>
                </c:pt>
                <c:pt idx="10">
                  <c:v>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003-441B-AFFF-878A9D107C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Taxas por Hora</a:t>
            </a:r>
          </a:p>
        </c:rich>
      </c:tx>
      <c:layout>
        <c:manualLayout>
          <c:xMode val="edge"/>
          <c:yMode val="edge"/>
          <c:x val="2.4700041380160666E-2"/>
          <c:y val="4.755042148666376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'02_OPERACIONAL'!$K$5</c:f>
              <c:strCache>
                <c:ptCount val="1"/>
                <c:pt idx="0">
                  <c:v>% Alô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58000"/>
                </a:schemeClr>
              </a:solidFill>
              <a:ln w="9525" cap="flat" cmpd="sng" algn="ctr">
                <a:solidFill>
                  <a:schemeClr val="accent3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'02_OPERACIONAL'!$K$6:$K$16</c:f>
              <c:numCache>
                <c:formatCode>0.00%</c:formatCode>
                <c:ptCount val="11"/>
                <c:pt idx="0">
                  <c:v>0.91</c:v>
                </c:pt>
                <c:pt idx="1">
                  <c:v>0.8476454293628809</c:v>
                </c:pt>
                <c:pt idx="2">
                  <c:v>0.90222222222222226</c:v>
                </c:pt>
                <c:pt idx="3">
                  <c:v>0.88461538461538458</c:v>
                </c:pt>
                <c:pt idx="4">
                  <c:v>0.8351648351648352</c:v>
                </c:pt>
                <c:pt idx="5">
                  <c:v>0.93142857142857138</c:v>
                </c:pt>
                <c:pt idx="6">
                  <c:v>0.8351648351648352</c:v>
                </c:pt>
                <c:pt idx="7">
                  <c:v>0.81609195402298851</c:v>
                </c:pt>
                <c:pt idx="8">
                  <c:v>0.98181818181818181</c:v>
                </c:pt>
                <c:pt idx="9">
                  <c:v>0.8076514346439958</c:v>
                </c:pt>
                <c:pt idx="10">
                  <c:v>0.82885906040268453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27-4E36-8599-F6A62A3C6939}"/>
            </c:ext>
          </c:extLst>
        </c:ser>
        <c:ser>
          <c:idx val="1"/>
          <c:order val="1"/>
          <c:tx>
            <c:strRef>
              <c:f>'02_OPERACIONAL'!$L$5</c:f>
              <c:strCache>
                <c:ptCount val="1"/>
                <c:pt idx="0">
                  <c:v>% Qualificação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86000"/>
                </a:schemeClr>
              </a:solidFill>
              <a:ln w="9525" cap="flat" cmpd="sng" algn="ctr">
                <a:solidFill>
                  <a:schemeClr val="accent3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'02_OPERACIONAL'!$L$6:$L$16</c:f>
              <c:numCache>
                <c:formatCode>0.00%</c:formatCode>
                <c:ptCount val="11"/>
                <c:pt idx="0">
                  <c:v>0.8351648351648352</c:v>
                </c:pt>
                <c:pt idx="1">
                  <c:v>0.9509803921568627</c:v>
                </c:pt>
                <c:pt idx="2">
                  <c:v>0.96305418719211822</c:v>
                </c:pt>
                <c:pt idx="3">
                  <c:v>0.9652173913043478</c:v>
                </c:pt>
                <c:pt idx="4">
                  <c:v>0.97368421052631582</c:v>
                </c:pt>
                <c:pt idx="5">
                  <c:v>0.97546012269938653</c:v>
                </c:pt>
                <c:pt idx="6">
                  <c:v>0.97368421052631582</c:v>
                </c:pt>
                <c:pt idx="7">
                  <c:v>0.96549295774647892</c:v>
                </c:pt>
                <c:pt idx="8">
                  <c:v>0.95462962962962961</c:v>
                </c:pt>
                <c:pt idx="9">
                  <c:v>0.93552631578947365</c:v>
                </c:pt>
                <c:pt idx="10">
                  <c:v>0.90080971659919029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527-4E36-8599-F6A62A3C6939}"/>
            </c:ext>
          </c:extLst>
        </c:ser>
        <c:ser>
          <c:idx val="2"/>
          <c:order val="2"/>
          <c:tx>
            <c:strRef>
              <c:f>'02_OPERACIONAL'!$M$5</c:f>
              <c:strCache>
                <c:ptCount val="1"/>
                <c:pt idx="0">
                  <c:v>% Apresentação</c:v>
                </c:pt>
              </c:strCache>
            </c:strRef>
          </c:tx>
          <c:spPr>
            <a:ln w="28575" cap="rnd" cmpd="sng" algn="ctr">
              <a:solidFill>
                <a:schemeClr val="accent3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tint val="86000"/>
                </a:schemeClr>
              </a:solidFill>
              <a:ln w="9525" cap="flat" cmpd="sng" algn="ctr">
                <a:solidFill>
                  <a:schemeClr val="accent3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'02_OPERACIONAL'!$M$6:$M$16</c:f>
              <c:numCache>
                <c:formatCode>0.00%</c:formatCode>
                <c:ptCount val="11"/>
                <c:pt idx="0">
                  <c:v>0.27631578947368424</c:v>
                </c:pt>
                <c:pt idx="1">
                  <c:v>0.24570446735395188</c:v>
                </c:pt>
                <c:pt idx="2">
                  <c:v>0.24808184143222506</c:v>
                </c:pt>
                <c:pt idx="3">
                  <c:v>0.24864864864864866</c:v>
                </c:pt>
                <c:pt idx="4">
                  <c:v>0.24864864864864866</c:v>
                </c:pt>
                <c:pt idx="5">
                  <c:v>0.24654088050314465</c:v>
                </c:pt>
                <c:pt idx="6">
                  <c:v>0.24324324324324326</c:v>
                </c:pt>
                <c:pt idx="7">
                  <c:v>0.24361779722830051</c:v>
                </c:pt>
                <c:pt idx="8">
                  <c:v>0.25024248302618818</c:v>
                </c:pt>
                <c:pt idx="9">
                  <c:v>0.24472573839662448</c:v>
                </c:pt>
                <c:pt idx="10">
                  <c:v>0.28539325842696628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527-4E36-8599-F6A62A3C69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12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jfif"/><Relationship Id="rId6" Type="http://schemas.openxmlformats.org/officeDocument/2006/relationships/image" Target="../media/image5.png"/><Relationship Id="rId11" Type="http://schemas.openxmlformats.org/officeDocument/2006/relationships/chart" Target="../charts/chart6.xml"/><Relationship Id="rId5" Type="http://schemas.openxmlformats.org/officeDocument/2006/relationships/chart" Target="../charts/chart1.xml"/><Relationship Id="rId10" Type="http://schemas.openxmlformats.org/officeDocument/2006/relationships/chart" Target="../charts/chart5.xml"/><Relationship Id="rId4" Type="http://schemas.openxmlformats.org/officeDocument/2006/relationships/image" Target="../media/image4.png"/><Relationship Id="rId9" Type="http://schemas.openxmlformats.org/officeDocument/2006/relationships/chart" Target="../charts/chart4.xml"/><Relationship Id="rId14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jf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234947</xdr:rowOff>
    </xdr:from>
    <xdr:to>
      <xdr:col>2</xdr:col>
      <xdr:colOff>409575</xdr:colOff>
      <xdr:row>3</xdr:row>
      <xdr:rowOff>199854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7E45F06-9FE8-09F1-F15A-C4AFA439A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234947"/>
          <a:ext cx="1446741" cy="686690"/>
        </a:xfrm>
        <a:prstGeom prst="rect">
          <a:avLst/>
        </a:prstGeom>
      </xdr:spPr>
    </xdr:pic>
    <xdr:clientData/>
  </xdr:twoCellAnchor>
  <xdr:twoCellAnchor>
    <xdr:from>
      <xdr:col>5</xdr:col>
      <xdr:colOff>719767</xdr:colOff>
      <xdr:row>5</xdr:row>
      <xdr:rowOff>118363</xdr:rowOff>
    </xdr:from>
    <xdr:to>
      <xdr:col>7</xdr:col>
      <xdr:colOff>710269</xdr:colOff>
      <xdr:row>10</xdr:row>
      <xdr:rowOff>97706</xdr:rowOff>
    </xdr:to>
    <xdr:grpSp>
      <xdr:nvGrpSpPr>
        <xdr:cNvPr id="72" name="Agrupar 71">
          <a:extLst>
            <a:ext uri="{FF2B5EF4-FFF2-40B4-BE49-F238E27FC236}">
              <a16:creationId xmlns:a16="http://schemas.microsoft.com/office/drawing/2014/main" id="{E8B916AF-54E6-698B-DF5A-3B5E5A129DCD}"/>
            </a:ext>
          </a:extLst>
        </xdr:cNvPr>
        <xdr:cNvGrpSpPr/>
      </xdr:nvGrpSpPr>
      <xdr:grpSpPr>
        <a:xfrm>
          <a:off x="4359905" y="1252632"/>
          <a:ext cx="1758977" cy="952480"/>
          <a:chOff x="4164667" y="1455105"/>
          <a:chExt cx="1767016" cy="935677"/>
        </a:xfrm>
      </xdr:grpSpPr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6159C1AF-C7F5-46EC-AD65-60C58F33B7F4}"/>
              </a:ext>
            </a:extLst>
          </xdr:cNvPr>
          <xdr:cNvGrpSpPr/>
        </xdr:nvGrpSpPr>
        <xdr:grpSpPr>
          <a:xfrm>
            <a:off x="4164667" y="1455105"/>
            <a:ext cx="1767016" cy="935677"/>
            <a:chOff x="2808816" y="2151592"/>
            <a:chExt cx="1734608" cy="955674"/>
          </a:xfrm>
        </xdr:grpSpPr>
        <xdr:sp macro="" textlink="">
          <xdr:nvSpPr>
            <xdr:cNvPr id="27" name="Retângulo: Cantos Arredondados 26">
              <a:extLst>
                <a:ext uri="{FF2B5EF4-FFF2-40B4-BE49-F238E27FC236}">
                  <a16:creationId xmlns:a16="http://schemas.microsoft.com/office/drawing/2014/main" id="{A2AF6763-18DB-76DF-41E0-A612A3BBAABC}"/>
                </a:ext>
              </a:extLst>
            </xdr:cNvPr>
            <xdr:cNvSpPr/>
          </xdr:nvSpPr>
          <xdr:spPr>
            <a:xfrm>
              <a:off x="2808816" y="2151592"/>
              <a:ext cx="1734608" cy="955674"/>
            </a:xfrm>
            <a:prstGeom prst="roundRect">
              <a:avLst/>
            </a:prstGeom>
            <a:solidFill>
              <a:srgbClr val="0A4A48"/>
            </a:solidFill>
            <a:ln>
              <a:noFill/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8" name="CaixaDeTexto 27">
              <a:extLst>
                <a:ext uri="{FF2B5EF4-FFF2-40B4-BE49-F238E27FC236}">
                  <a16:creationId xmlns:a16="http://schemas.microsoft.com/office/drawing/2014/main" id="{006E7E00-D0BE-35E3-B7C5-7214B3248DDD}"/>
                </a:ext>
              </a:extLst>
            </xdr:cNvPr>
            <xdr:cNvSpPr txBox="1"/>
          </xdr:nvSpPr>
          <xdr:spPr>
            <a:xfrm>
              <a:off x="3104091" y="2254250"/>
              <a:ext cx="1084792" cy="2931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100" b="1">
                  <a:solidFill>
                    <a:schemeClr val="bg1"/>
                  </a:solidFill>
                </a:rPr>
                <a:t>ALÔ</a:t>
              </a:r>
            </a:p>
          </xdr:txBody>
        </xdr:sp>
        <xdr:sp macro="" textlink="">
          <xdr:nvSpPr>
            <xdr:cNvPr id="29" name="CaixaDeTexto 28">
              <a:extLst>
                <a:ext uri="{FF2B5EF4-FFF2-40B4-BE49-F238E27FC236}">
                  <a16:creationId xmlns:a16="http://schemas.microsoft.com/office/drawing/2014/main" id="{B4BFB602-A516-8E0C-BDD2-3527C65EBF8B}"/>
                </a:ext>
              </a:extLst>
            </xdr:cNvPr>
            <xdr:cNvSpPr txBox="1"/>
          </xdr:nvSpPr>
          <xdr:spPr>
            <a:xfrm>
              <a:off x="2969910" y="2533615"/>
              <a:ext cx="1398059" cy="4233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pt-BR" sz="2200" b="1">
                  <a:solidFill>
                    <a:schemeClr val="bg1"/>
                  </a:solidFill>
                </a:rPr>
                <a:t>50.600</a:t>
              </a:r>
            </a:p>
          </xdr:txBody>
        </xdr:sp>
      </xdr:grpSp>
      <xdr:pic>
        <xdr:nvPicPr>
          <xdr:cNvPr id="48" name="Imagem 47">
            <a:extLst>
              <a:ext uri="{FF2B5EF4-FFF2-40B4-BE49-F238E27FC236}">
                <a16:creationId xmlns:a16="http://schemas.microsoft.com/office/drawing/2014/main" id="{F05070E7-E843-C3B6-DF39-60E114A028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78368" y="1810520"/>
            <a:ext cx="362052" cy="363972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171448</xdr:colOff>
      <xdr:row>5</xdr:row>
      <xdr:rowOff>133308</xdr:rowOff>
    </xdr:from>
    <xdr:to>
      <xdr:col>5</xdr:col>
      <xdr:colOff>335111</xdr:colOff>
      <xdr:row>10</xdr:row>
      <xdr:rowOff>106871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17F723C1-A921-66F6-4ED0-4441609510F9}"/>
            </a:ext>
          </a:extLst>
        </xdr:cNvPr>
        <xdr:cNvGrpSpPr/>
      </xdr:nvGrpSpPr>
      <xdr:grpSpPr>
        <a:xfrm>
          <a:off x="2207417" y="1264402"/>
          <a:ext cx="1767832" cy="946700"/>
          <a:chOff x="2808816" y="2151592"/>
          <a:chExt cx="1734608" cy="955674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72F74620-F60D-4EFE-8082-B9CD59ADA7BE}"/>
              </a:ext>
            </a:extLst>
          </xdr:cNvPr>
          <xdr:cNvSpPr/>
        </xdr:nvSpPr>
        <xdr:spPr>
          <a:xfrm>
            <a:off x="2808816" y="2151592"/>
            <a:ext cx="1734608" cy="955674"/>
          </a:xfrm>
          <a:prstGeom prst="roundRect">
            <a:avLst/>
          </a:prstGeom>
          <a:solidFill>
            <a:schemeClr val="bg1"/>
          </a:solidFill>
          <a:ln>
            <a:solidFill>
              <a:srgbClr val="04503F"/>
            </a:solidFill>
          </a:ln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CaixaDeTexto 6">
            <a:extLst>
              <a:ext uri="{FF2B5EF4-FFF2-40B4-BE49-F238E27FC236}">
                <a16:creationId xmlns:a16="http://schemas.microsoft.com/office/drawing/2014/main" id="{EDCFB4BF-B4DB-D3A8-12CB-555FE149208A}"/>
              </a:ext>
            </a:extLst>
          </xdr:cNvPr>
          <xdr:cNvSpPr txBox="1"/>
        </xdr:nvSpPr>
        <xdr:spPr>
          <a:xfrm>
            <a:off x="3010632" y="2230212"/>
            <a:ext cx="1297693" cy="2931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solidFill>
                  <a:srgbClr val="04503F"/>
                </a:solidFill>
                <a:latin typeface="+mn-lt"/>
                <a:ea typeface="+mn-ea"/>
                <a:cs typeface="+mn-cs"/>
              </a:rPr>
              <a:t>LEADS / CONTATOS</a:t>
            </a: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020B5B3-D514-489F-86FE-A4F2122B9360}"/>
              </a:ext>
            </a:extLst>
          </xdr:cNvPr>
          <xdr:cNvSpPr txBox="1"/>
        </xdr:nvSpPr>
        <xdr:spPr>
          <a:xfrm>
            <a:off x="2969910" y="2533615"/>
            <a:ext cx="1398059" cy="4233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BR" sz="2200" b="1">
                <a:solidFill>
                  <a:srgbClr val="04503F"/>
                </a:solidFill>
              </a:rPr>
              <a:t>96.206</a:t>
            </a:r>
          </a:p>
        </xdr:txBody>
      </xdr:sp>
    </xdr:grpSp>
    <xdr:clientData/>
  </xdr:twoCellAnchor>
  <xdr:twoCellAnchor>
    <xdr:from>
      <xdr:col>8</xdr:col>
      <xdr:colOff>164246</xdr:colOff>
      <xdr:row>5</xdr:row>
      <xdr:rowOff>134320</xdr:rowOff>
    </xdr:from>
    <xdr:to>
      <xdr:col>11</xdr:col>
      <xdr:colOff>102442</xdr:colOff>
      <xdr:row>10</xdr:row>
      <xdr:rowOff>85718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44E3672-C831-45F8-B9F5-D7995B8F6DC5}"/>
            </a:ext>
          </a:extLst>
        </xdr:cNvPr>
        <xdr:cNvGrpSpPr/>
      </xdr:nvGrpSpPr>
      <xdr:grpSpPr>
        <a:xfrm>
          <a:off x="6447571" y="1265414"/>
          <a:ext cx="1766202" cy="930885"/>
          <a:chOff x="2808816" y="2151592"/>
          <a:chExt cx="1734608" cy="955674"/>
        </a:xfrm>
      </xdr:grpSpPr>
      <xdr:sp macro="" textlink="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4E6E151A-2C74-2147-31D2-E6E31BCA895C}"/>
              </a:ext>
            </a:extLst>
          </xdr:cNvPr>
          <xdr:cNvSpPr/>
        </xdr:nvSpPr>
        <xdr:spPr>
          <a:xfrm>
            <a:off x="2808816" y="2151592"/>
            <a:ext cx="1734608" cy="955674"/>
          </a:xfrm>
          <a:prstGeom prst="roundRect">
            <a:avLst/>
          </a:prstGeom>
          <a:solidFill>
            <a:schemeClr val="bg1"/>
          </a:solidFill>
          <a:ln>
            <a:solidFill>
              <a:srgbClr val="04503F"/>
            </a:solidFill>
          </a:ln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2" name="CaixaDeTexto 31">
            <a:extLst>
              <a:ext uri="{FF2B5EF4-FFF2-40B4-BE49-F238E27FC236}">
                <a16:creationId xmlns:a16="http://schemas.microsoft.com/office/drawing/2014/main" id="{4F6455E0-5F56-8062-09C1-26DDBA44A381}"/>
              </a:ext>
            </a:extLst>
          </xdr:cNvPr>
          <xdr:cNvSpPr txBox="1"/>
        </xdr:nvSpPr>
        <xdr:spPr>
          <a:xfrm>
            <a:off x="3045412" y="2254250"/>
            <a:ext cx="1242060" cy="2361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solidFill>
                  <a:srgbClr val="04503F"/>
                </a:solidFill>
              </a:rPr>
              <a:t>OPORTUNIDADES</a:t>
            </a: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11DD83B6-DCF8-B398-F31F-08B9F7650D31}"/>
              </a:ext>
            </a:extLst>
          </xdr:cNvPr>
          <xdr:cNvSpPr txBox="1"/>
        </xdr:nvSpPr>
        <xdr:spPr>
          <a:xfrm>
            <a:off x="2969910" y="2533615"/>
            <a:ext cx="1398059" cy="4233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BR" sz="2200" b="1">
                <a:solidFill>
                  <a:srgbClr val="04503F"/>
                </a:solidFill>
              </a:rPr>
              <a:t>12.100</a:t>
            </a:r>
          </a:p>
        </xdr:txBody>
      </xdr:sp>
    </xdr:grpSp>
    <xdr:clientData/>
  </xdr:twoCellAnchor>
  <xdr:twoCellAnchor>
    <xdr:from>
      <xdr:col>18</xdr:col>
      <xdr:colOff>480888</xdr:colOff>
      <xdr:row>5</xdr:row>
      <xdr:rowOff>147073</xdr:rowOff>
    </xdr:from>
    <xdr:to>
      <xdr:col>21</xdr:col>
      <xdr:colOff>431801</xdr:colOff>
      <xdr:row>10</xdr:row>
      <xdr:rowOff>107969</xdr:rowOff>
    </xdr:to>
    <xdr:grpSp>
      <xdr:nvGrpSpPr>
        <xdr:cNvPr id="68" name="Agrupar 67">
          <a:extLst>
            <a:ext uri="{FF2B5EF4-FFF2-40B4-BE49-F238E27FC236}">
              <a16:creationId xmlns:a16="http://schemas.microsoft.com/office/drawing/2014/main" id="{C0762A22-15C2-6B88-FC5C-28D2A47B4EAE}"/>
            </a:ext>
          </a:extLst>
        </xdr:cNvPr>
        <xdr:cNvGrpSpPr/>
      </xdr:nvGrpSpPr>
      <xdr:grpSpPr>
        <a:xfrm>
          <a:off x="12842751" y="1274992"/>
          <a:ext cx="1766219" cy="937208"/>
          <a:chOff x="11980738" y="1439314"/>
          <a:chExt cx="1773366" cy="941971"/>
        </a:xfrm>
      </xdr:grpSpPr>
      <xdr:grpSp>
        <xdr:nvGrpSpPr>
          <xdr:cNvPr id="42" name="Agrupar 41">
            <a:extLst>
              <a:ext uri="{FF2B5EF4-FFF2-40B4-BE49-F238E27FC236}">
                <a16:creationId xmlns:a16="http://schemas.microsoft.com/office/drawing/2014/main" id="{AD206AAE-C734-4DEB-8C07-80B21C8277C2}"/>
              </a:ext>
            </a:extLst>
          </xdr:cNvPr>
          <xdr:cNvGrpSpPr/>
        </xdr:nvGrpSpPr>
        <xdr:grpSpPr>
          <a:xfrm>
            <a:off x="11980738" y="1439314"/>
            <a:ext cx="1773366" cy="941971"/>
            <a:chOff x="2808816" y="2151592"/>
            <a:chExt cx="1734608" cy="955674"/>
          </a:xfrm>
        </xdr:grpSpPr>
        <xdr:sp macro="" textlink="">
          <xdr:nvSpPr>
            <xdr:cNvPr id="43" name="Retângulo: Cantos Arredondados 42">
              <a:extLst>
                <a:ext uri="{FF2B5EF4-FFF2-40B4-BE49-F238E27FC236}">
                  <a16:creationId xmlns:a16="http://schemas.microsoft.com/office/drawing/2014/main" id="{FFADB0CA-528D-B073-5FD8-CFCD752AE897}"/>
                </a:ext>
              </a:extLst>
            </xdr:cNvPr>
            <xdr:cNvSpPr/>
          </xdr:nvSpPr>
          <xdr:spPr>
            <a:xfrm>
              <a:off x="2808816" y="2151592"/>
              <a:ext cx="1734608" cy="955674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04503F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pt-BR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44" name="CaixaDeTexto 43">
              <a:extLst>
                <a:ext uri="{FF2B5EF4-FFF2-40B4-BE49-F238E27FC236}">
                  <a16:creationId xmlns:a16="http://schemas.microsoft.com/office/drawing/2014/main" id="{BE4180BD-14AD-F657-4670-271E18E03FD0}"/>
                </a:ext>
              </a:extLst>
            </xdr:cNvPr>
            <xdr:cNvSpPr txBox="1"/>
          </xdr:nvSpPr>
          <xdr:spPr>
            <a:xfrm>
              <a:off x="3104091" y="2254250"/>
              <a:ext cx="1084792" cy="2931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100" b="1">
                  <a:solidFill>
                    <a:srgbClr val="04503F"/>
                  </a:solidFill>
                </a:rPr>
                <a:t>CONVERSÃO</a:t>
              </a:r>
            </a:p>
          </xdr:txBody>
        </xdr:sp>
        <xdr:sp macro="" textlink="">
          <xdr:nvSpPr>
            <xdr:cNvPr id="45" name="CaixaDeTexto 44">
              <a:extLst>
                <a:ext uri="{FF2B5EF4-FFF2-40B4-BE49-F238E27FC236}">
                  <a16:creationId xmlns:a16="http://schemas.microsoft.com/office/drawing/2014/main" id="{5CA32A37-E9E2-D80C-0967-EB52F28EE21B}"/>
                </a:ext>
              </a:extLst>
            </xdr:cNvPr>
            <xdr:cNvSpPr txBox="1"/>
          </xdr:nvSpPr>
          <xdr:spPr>
            <a:xfrm>
              <a:off x="2969910" y="2533615"/>
              <a:ext cx="1398059" cy="4233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pt-BR" sz="2200" b="1">
                  <a:solidFill>
                    <a:srgbClr val="04503F"/>
                  </a:solidFill>
                </a:rPr>
                <a:t>82,4%</a:t>
              </a:r>
            </a:p>
          </xdr:txBody>
        </xdr:sp>
      </xdr:grpSp>
      <xdr:pic>
        <xdr:nvPicPr>
          <xdr:cNvPr id="56" name="Imagem 55">
            <a:extLst>
              <a:ext uri="{FF2B5EF4-FFF2-40B4-BE49-F238E27FC236}">
                <a16:creationId xmlns:a16="http://schemas.microsoft.com/office/drawing/2014/main" id="{DE92AE13-5189-1F3E-4C88-A64C6B4FA0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221395" y="1812984"/>
            <a:ext cx="351923" cy="354440"/>
          </a:xfrm>
          <a:prstGeom prst="rect">
            <a:avLst/>
          </a:prstGeom>
        </xdr:spPr>
      </xdr:pic>
    </xdr:grpSp>
    <xdr:clientData/>
  </xdr:twoCellAnchor>
  <xdr:twoCellAnchor editAs="oneCell">
    <xdr:from>
      <xdr:col>15</xdr:col>
      <xdr:colOff>48479</xdr:colOff>
      <xdr:row>1</xdr:row>
      <xdr:rowOff>183092</xdr:rowOff>
    </xdr:from>
    <xdr:to>
      <xdr:col>15</xdr:col>
      <xdr:colOff>568571</xdr:colOff>
      <xdr:row>4</xdr:row>
      <xdr:rowOff>59517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D02CBE70-1229-0E3D-8361-D628CC732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8354" y="478367"/>
          <a:ext cx="520092" cy="533650"/>
        </a:xfrm>
        <a:prstGeom prst="rect">
          <a:avLst/>
        </a:prstGeom>
      </xdr:spPr>
    </xdr:pic>
    <xdr:clientData/>
  </xdr:twoCellAnchor>
  <xdr:twoCellAnchor editAs="absolute">
    <xdr:from>
      <xdr:col>4</xdr:col>
      <xdr:colOff>0</xdr:colOff>
      <xdr:row>13</xdr:row>
      <xdr:rowOff>82550</xdr:rowOff>
    </xdr:from>
    <xdr:to>
      <xdr:col>11</xdr:col>
      <xdr:colOff>263813</xdr:colOff>
      <xdr:row>27</xdr:row>
      <xdr:rowOff>77194</xdr:rowOff>
    </xdr:to>
    <xdr:graphicFrame macro="">
      <xdr:nvGraphicFramePr>
        <xdr:cNvPr id="66" name="Chart 1">
          <a:extLst>
            <a:ext uri="{FF2B5EF4-FFF2-40B4-BE49-F238E27FC236}">
              <a16:creationId xmlns:a16="http://schemas.microsoft.com/office/drawing/2014/main" id="{67535A8D-EAC0-4C8B-8C53-C5919F4AA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368105</xdr:colOff>
      <xdr:row>5</xdr:row>
      <xdr:rowOff>108126</xdr:rowOff>
    </xdr:from>
    <xdr:to>
      <xdr:col>14</xdr:col>
      <xdr:colOff>328910</xdr:colOff>
      <xdr:row>10</xdr:row>
      <xdr:rowOff>62699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43FE86F8-C9DD-A9E2-121F-61635B08477A}"/>
            </a:ext>
          </a:extLst>
        </xdr:cNvPr>
        <xdr:cNvGrpSpPr/>
      </xdr:nvGrpSpPr>
      <xdr:grpSpPr>
        <a:xfrm>
          <a:off x="8479436" y="1236045"/>
          <a:ext cx="1782462" cy="937235"/>
          <a:chOff x="10640023" y="1271764"/>
          <a:chExt cx="1782462" cy="934060"/>
        </a:xfrm>
      </xdr:grpSpPr>
      <xdr:grpSp>
        <xdr:nvGrpSpPr>
          <xdr:cNvPr id="38" name="Agrupar 37">
            <a:extLst>
              <a:ext uri="{FF2B5EF4-FFF2-40B4-BE49-F238E27FC236}">
                <a16:creationId xmlns:a16="http://schemas.microsoft.com/office/drawing/2014/main" id="{98CCD9FD-A194-407E-8A70-2A1A13C84ED7}"/>
              </a:ext>
            </a:extLst>
          </xdr:cNvPr>
          <xdr:cNvGrpSpPr/>
        </xdr:nvGrpSpPr>
        <xdr:grpSpPr>
          <a:xfrm>
            <a:off x="10643198" y="1274939"/>
            <a:ext cx="1782462" cy="930885"/>
            <a:chOff x="2808816" y="2151592"/>
            <a:chExt cx="1734608" cy="955674"/>
          </a:xfrm>
        </xdr:grpSpPr>
        <xdr:sp macro="" textlink="">
          <xdr:nvSpPr>
            <xdr:cNvPr id="39" name="Retângulo: Cantos Arredondados 38">
              <a:extLst>
                <a:ext uri="{FF2B5EF4-FFF2-40B4-BE49-F238E27FC236}">
                  <a16:creationId xmlns:a16="http://schemas.microsoft.com/office/drawing/2014/main" id="{F2338AEB-1A1B-CB2E-C904-4A4E77539C60}"/>
                </a:ext>
              </a:extLst>
            </xdr:cNvPr>
            <xdr:cNvSpPr/>
          </xdr:nvSpPr>
          <xdr:spPr>
            <a:xfrm>
              <a:off x="2808816" y="2151592"/>
              <a:ext cx="1734608" cy="955674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04503F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pt-BR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40" name="CaixaDeTexto 39">
              <a:extLst>
                <a:ext uri="{FF2B5EF4-FFF2-40B4-BE49-F238E27FC236}">
                  <a16:creationId xmlns:a16="http://schemas.microsoft.com/office/drawing/2014/main" id="{DDD06F1E-D239-16CC-B0EF-75DF6AC1BBE9}"/>
                </a:ext>
              </a:extLst>
            </xdr:cNvPr>
            <xdr:cNvSpPr txBox="1"/>
          </xdr:nvSpPr>
          <xdr:spPr>
            <a:xfrm>
              <a:off x="2941879" y="2266598"/>
              <a:ext cx="1455264" cy="2263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100" b="1">
                  <a:solidFill>
                    <a:srgbClr val="04503F"/>
                  </a:solidFill>
                </a:rPr>
                <a:t>VENDAS</a:t>
              </a:r>
              <a:r>
                <a:rPr lang="pt-BR" sz="1100" b="1" baseline="0">
                  <a:solidFill>
                    <a:srgbClr val="04503F"/>
                  </a:solidFill>
                </a:rPr>
                <a:t> REALIZADAS</a:t>
              </a:r>
              <a:endParaRPr lang="pt-BR" sz="1100" b="1">
                <a:solidFill>
                  <a:srgbClr val="04503F"/>
                </a:solidFill>
              </a:endParaRPr>
            </a:p>
          </xdr:txBody>
        </xdr:sp>
        <xdr:sp macro="" textlink="">
          <xdr:nvSpPr>
            <xdr:cNvPr id="41" name="CaixaDeTexto 40">
              <a:extLst>
                <a:ext uri="{FF2B5EF4-FFF2-40B4-BE49-F238E27FC236}">
                  <a16:creationId xmlns:a16="http://schemas.microsoft.com/office/drawing/2014/main" id="{BAEDE1FC-CFE5-8751-8505-4DE5C25FE5F6}"/>
                </a:ext>
              </a:extLst>
            </xdr:cNvPr>
            <xdr:cNvSpPr txBox="1"/>
          </xdr:nvSpPr>
          <xdr:spPr>
            <a:xfrm>
              <a:off x="3131693" y="2582136"/>
              <a:ext cx="1398059" cy="4233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2200" b="1">
                  <a:solidFill>
                    <a:srgbClr val="04503F"/>
                  </a:solidFill>
                </a:rPr>
                <a:t>5.128</a:t>
              </a:r>
            </a:p>
          </xdr:txBody>
        </xdr:sp>
      </xdr:grpSp>
      <xdr:pic>
        <xdr:nvPicPr>
          <xdr:cNvPr id="54" name="Imagem 53">
            <a:extLst>
              <a:ext uri="{FF2B5EF4-FFF2-40B4-BE49-F238E27FC236}">
                <a16:creationId xmlns:a16="http://schemas.microsoft.com/office/drawing/2014/main" id="{22E4E492-CA69-7E96-DC3F-9A5BEE723F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796500" y="1657732"/>
            <a:ext cx="454906" cy="479587"/>
          </a:xfrm>
          <a:prstGeom prst="rect">
            <a:avLst/>
          </a:prstGeom>
        </xdr:spPr>
      </xdr:pic>
    </xdr:grpSp>
    <xdr:clientData/>
  </xdr:twoCellAnchor>
  <xdr:twoCellAnchor editAs="absolute">
    <xdr:from>
      <xdr:col>11</xdr:col>
      <xdr:colOff>206376</xdr:colOff>
      <xdr:row>13</xdr:row>
      <xdr:rowOff>107651</xdr:rowOff>
    </xdr:from>
    <xdr:to>
      <xdr:col>15</xdr:col>
      <xdr:colOff>389262</xdr:colOff>
      <xdr:row>20</xdr:row>
      <xdr:rowOff>82610</xdr:rowOff>
    </xdr:to>
    <xdr:graphicFrame macro="">
      <xdr:nvGraphicFramePr>
        <xdr:cNvPr id="67" name="Chart 1">
          <a:extLst>
            <a:ext uri="{FF2B5EF4-FFF2-40B4-BE49-F238E27FC236}">
              <a16:creationId xmlns:a16="http://schemas.microsoft.com/office/drawing/2014/main" id="{CE1F46E7-FF78-4B12-BF28-DBDB4EB05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13</xdr:col>
      <xdr:colOff>231134</xdr:colOff>
      <xdr:row>13</xdr:row>
      <xdr:rowOff>126880</xdr:rowOff>
    </xdr:from>
    <xdr:to>
      <xdr:col>17</xdr:col>
      <xdr:colOff>420370</xdr:colOff>
      <xdr:row>20</xdr:row>
      <xdr:rowOff>101839</xdr:rowOff>
    </xdr:to>
    <xdr:graphicFrame macro="">
      <xdr:nvGraphicFramePr>
        <xdr:cNvPr id="74" name="Chart 1">
          <a:extLst>
            <a:ext uri="{FF2B5EF4-FFF2-40B4-BE49-F238E27FC236}">
              <a16:creationId xmlns:a16="http://schemas.microsoft.com/office/drawing/2014/main" id="{6BD722E8-22AB-4B46-93F4-50DD764BD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15</xdr:col>
      <xdr:colOff>235570</xdr:colOff>
      <xdr:row>13</xdr:row>
      <xdr:rowOff>107949</xdr:rowOff>
    </xdr:from>
    <xdr:to>
      <xdr:col>19</xdr:col>
      <xdr:colOff>420368</xdr:colOff>
      <xdr:row>20</xdr:row>
      <xdr:rowOff>82908</xdr:rowOff>
    </xdr:to>
    <xdr:graphicFrame macro="">
      <xdr:nvGraphicFramePr>
        <xdr:cNvPr id="75" name="Chart 1">
          <a:extLst>
            <a:ext uri="{FF2B5EF4-FFF2-40B4-BE49-F238E27FC236}">
              <a16:creationId xmlns:a16="http://schemas.microsoft.com/office/drawing/2014/main" id="{339A3B4A-B32B-4252-9311-CDD5379EC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17</xdr:col>
      <xdr:colOff>248914</xdr:colOff>
      <xdr:row>13</xdr:row>
      <xdr:rowOff>126641</xdr:rowOff>
    </xdr:from>
    <xdr:to>
      <xdr:col>21</xdr:col>
      <xdr:colOff>438150</xdr:colOff>
      <xdr:row>20</xdr:row>
      <xdr:rowOff>101600</xdr:rowOff>
    </xdr:to>
    <xdr:graphicFrame macro="">
      <xdr:nvGraphicFramePr>
        <xdr:cNvPr id="76" name="Chart 1">
          <a:extLst>
            <a:ext uri="{FF2B5EF4-FFF2-40B4-BE49-F238E27FC236}">
              <a16:creationId xmlns:a16="http://schemas.microsoft.com/office/drawing/2014/main" id="{CA65C310-FFB5-44E9-8837-94ADCF748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401109</xdr:colOff>
      <xdr:row>14</xdr:row>
      <xdr:rowOff>44450</xdr:rowOff>
    </xdr:from>
    <xdr:to>
      <xdr:col>11</xdr:col>
      <xdr:colOff>419100</xdr:colOff>
      <xdr:row>25</xdr:row>
      <xdr:rowOff>25400</xdr:rowOff>
    </xdr:to>
    <xdr:cxnSp macro="">
      <xdr:nvCxnSpPr>
        <xdr:cNvPr id="77" name="Conector reto 76">
          <a:extLst>
            <a:ext uri="{FF2B5EF4-FFF2-40B4-BE49-F238E27FC236}">
              <a16:creationId xmlns:a16="http://schemas.microsoft.com/office/drawing/2014/main" id="{99E7E944-143C-44D9-AF25-3CB5B77588AE}"/>
            </a:ext>
          </a:extLst>
        </xdr:cNvPr>
        <xdr:cNvCxnSpPr/>
      </xdr:nvCxnSpPr>
      <xdr:spPr>
        <a:xfrm>
          <a:off x="8544984" y="3054350"/>
          <a:ext cx="17991" cy="2105025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43369</xdr:colOff>
      <xdr:row>29</xdr:row>
      <xdr:rowOff>161926</xdr:rowOff>
    </xdr:from>
    <xdr:to>
      <xdr:col>10</xdr:col>
      <xdr:colOff>307227</xdr:colOff>
      <xdr:row>42</xdr:row>
      <xdr:rowOff>162871</xdr:rowOff>
    </xdr:to>
    <xdr:graphicFrame macro="">
      <xdr:nvGraphicFramePr>
        <xdr:cNvPr id="83" name="Chart 1">
          <a:extLst>
            <a:ext uri="{FF2B5EF4-FFF2-40B4-BE49-F238E27FC236}">
              <a16:creationId xmlns:a16="http://schemas.microsoft.com/office/drawing/2014/main" id="{1B044717-C4C3-41FC-B464-AD876574E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27781</xdr:colOff>
      <xdr:row>32</xdr:row>
      <xdr:rowOff>163506</xdr:rowOff>
    </xdr:from>
    <xdr:to>
      <xdr:col>18</xdr:col>
      <xdr:colOff>595311</xdr:colOff>
      <xdr:row>39</xdr:row>
      <xdr:rowOff>161131</xdr:rowOff>
    </xdr:to>
    <xdr:sp macro="" textlink="">
      <xdr:nvSpPr>
        <xdr:cNvPr id="87" name="Retângulo: Cantos Arredondados 86">
          <a:extLst>
            <a:ext uri="{FF2B5EF4-FFF2-40B4-BE49-F238E27FC236}">
              <a16:creationId xmlns:a16="http://schemas.microsoft.com/office/drawing/2014/main" id="{897F72CA-A32D-079A-F9FD-FF9BEA7025D6}"/>
            </a:ext>
          </a:extLst>
        </xdr:cNvPr>
        <xdr:cNvSpPr/>
      </xdr:nvSpPr>
      <xdr:spPr>
        <a:xfrm>
          <a:off x="10564812" y="6557162"/>
          <a:ext cx="2389187" cy="1319219"/>
        </a:xfrm>
        <a:prstGeom prst="roundRect">
          <a:avLst/>
        </a:prstGeom>
        <a:noFill/>
        <a:ln>
          <a:solidFill>
            <a:srgbClr val="04503F"/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4</xdr:col>
      <xdr:colOff>306388</xdr:colOff>
      <xdr:row>7</xdr:row>
      <xdr:rowOff>127793</xdr:rowOff>
    </xdr:from>
    <xdr:to>
      <xdr:col>4</xdr:col>
      <xdr:colOff>782638</xdr:colOff>
      <xdr:row>9</xdr:row>
      <xdr:rowOff>169502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50E836EB-805E-1BD8-2D3E-1BD9D07DC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2357" y="1616074"/>
          <a:ext cx="476250" cy="482241"/>
        </a:xfrm>
        <a:prstGeom prst="rect">
          <a:avLst/>
        </a:prstGeom>
      </xdr:spPr>
    </xdr:pic>
    <xdr:clientData/>
  </xdr:twoCellAnchor>
  <xdr:twoCellAnchor>
    <xdr:from>
      <xdr:col>14</xdr:col>
      <xdr:colOff>592873</xdr:colOff>
      <xdr:row>5</xdr:row>
      <xdr:rowOff>122200</xdr:rowOff>
    </xdr:from>
    <xdr:to>
      <xdr:col>17</xdr:col>
      <xdr:colOff>535835</xdr:colOff>
      <xdr:row>10</xdr:row>
      <xdr:rowOff>83142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CF91E5EC-0A40-4B25-AF30-758C5C846FC0}"/>
            </a:ext>
          </a:extLst>
        </xdr:cNvPr>
        <xdr:cNvGrpSpPr/>
      </xdr:nvGrpSpPr>
      <xdr:grpSpPr>
        <a:xfrm>
          <a:off x="10522686" y="1256469"/>
          <a:ext cx="1764618" cy="937254"/>
          <a:chOff x="2808816" y="2151592"/>
          <a:chExt cx="1734608" cy="955674"/>
        </a:xfrm>
      </xdr:grpSpPr>
      <xdr:sp macro="" textlink="">
        <xdr:nvSpPr>
          <xdr:cNvPr id="35" name="Retângulo: Cantos Arredondados 34">
            <a:extLst>
              <a:ext uri="{FF2B5EF4-FFF2-40B4-BE49-F238E27FC236}">
                <a16:creationId xmlns:a16="http://schemas.microsoft.com/office/drawing/2014/main" id="{E2E6255F-E815-0731-A4E5-7C5E46FCC8B4}"/>
              </a:ext>
            </a:extLst>
          </xdr:cNvPr>
          <xdr:cNvSpPr/>
        </xdr:nvSpPr>
        <xdr:spPr>
          <a:xfrm>
            <a:off x="2808816" y="2151592"/>
            <a:ext cx="1734608" cy="955674"/>
          </a:xfrm>
          <a:prstGeom prst="roundRect">
            <a:avLst/>
          </a:prstGeom>
          <a:solidFill>
            <a:schemeClr val="bg1"/>
          </a:solidFill>
          <a:ln>
            <a:solidFill>
              <a:srgbClr val="04503F"/>
            </a:solidFill>
          </a:ln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F51772AF-0EEF-45B3-3C13-B1D2C07DDA78}"/>
              </a:ext>
            </a:extLst>
          </xdr:cNvPr>
          <xdr:cNvSpPr txBox="1"/>
        </xdr:nvSpPr>
        <xdr:spPr>
          <a:xfrm>
            <a:off x="2928023" y="2242110"/>
            <a:ext cx="1569424" cy="2931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solidFill>
                  <a:srgbClr val="04503F"/>
                </a:solidFill>
              </a:rPr>
              <a:t>RECEITA</a:t>
            </a:r>
            <a:r>
              <a:rPr lang="pt-BR" sz="1100" b="1" baseline="0">
                <a:solidFill>
                  <a:srgbClr val="04503F"/>
                </a:solidFill>
              </a:rPr>
              <a:t> TOTAL</a:t>
            </a:r>
            <a:endParaRPr lang="pt-BR" sz="1100" b="1">
              <a:solidFill>
                <a:srgbClr val="04503F"/>
              </a:solidFill>
            </a:endParaRPr>
          </a:p>
        </xdr:txBody>
      </xdr:sp>
      <xdr:sp macro="" textlink="">
        <xdr:nvSpPr>
          <xdr:cNvPr id="37" name="CaixaDeTexto 36">
            <a:extLst>
              <a:ext uri="{FF2B5EF4-FFF2-40B4-BE49-F238E27FC236}">
                <a16:creationId xmlns:a16="http://schemas.microsoft.com/office/drawing/2014/main" id="{046073A2-9E0D-E898-7683-47758B8983BD}"/>
              </a:ext>
            </a:extLst>
          </xdr:cNvPr>
          <xdr:cNvSpPr txBox="1"/>
        </xdr:nvSpPr>
        <xdr:spPr>
          <a:xfrm>
            <a:off x="2864575" y="2521475"/>
            <a:ext cx="1398059" cy="4233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BR" sz="2200" b="1">
                <a:solidFill>
                  <a:srgbClr val="04503F"/>
                </a:solidFill>
              </a:rPr>
              <a:t>7.900</a:t>
            </a:r>
          </a:p>
        </xdr:txBody>
      </xdr:sp>
    </xdr:grpSp>
    <xdr:clientData/>
  </xdr:twoCellAnchor>
  <xdr:twoCellAnchor editAs="oneCell">
    <xdr:from>
      <xdr:col>8</xdr:col>
      <xdr:colOff>322263</xdr:colOff>
      <xdr:row>7</xdr:row>
      <xdr:rowOff>130971</xdr:rowOff>
    </xdr:from>
    <xdr:to>
      <xdr:col>9</xdr:col>
      <xdr:colOff>187325</xdr:colOff>
      <xdr:row>10</xdr:row>
      <xdr:rowOff>616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1F922836-C86C-1569-C02D-1FE02DBC8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8763" y="1619252"/>
          <a:ext cx="472281" cy="488770"/>
        </a:xfrm>
        <a:prstGeom prst="rect">
          <a:avLst/>
        </a:prstGeom>
      </xdr:spPr>
    </xdr:pic>
    <xdr:clientData/>
  </xdr:twoCellAnchor>
  <xdr:twoCellAnchor editAs="oneCell">
    <xdr:from>
      <xdr:col>15</xdr:col>
      <xdr:colOff>68263</xdr:colOff>
      <xdr:row>7</xdr:row>
      <xdr:rowOff>35719</xdr:rowOff>
    </xdr:from>
    <xdr:to>
      <xdr:col>15</xdr:col>
      <xdr:colOff>601663</xdr:colOff>
      <xdr:row>9</xdr:row>
      <xdr:rowOff>123227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DCC14594-3FA3-AC20-4ECB-9ED472FBA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5294" y="1524000"/>
          <a:ext cx="530225" cy="524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A662DD-DA8D-4446-B01B-392D6716B3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5099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4F946AE-06CA-4F84-A469-B0DE203201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409575</xdr:colOff>
      <xdr:row>3</xdr:row>
      <xdr:rowOff>74970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2835D7F-885B-4B82-9F6E-9F7D0F546E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oneCellAnchor>
    <xdr:from>
      <xdr:col>3</xdr:col>
      <xdr:colOff>187326</xdr:colOff>
      <xdr:row>18</xdr:row>
      <xdr:rowOff>35983</xdr:rowOff>
    </xdr:from>
    <xdr:ext cx="6945842" cy="3012017"/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B6A76EE-8E30-4BE3-B2BE-2F79984A5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161925</xdr:colOff>
      <xdr:row>18</xdr:row>
      <xdr:rowOff>63500</xdr:rowOff>
    </xdr:from>
    <xdr:ext cx="6944400" cy="3013200"/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6634FA09-5E4A-4E71-A90A-2D558C69B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9</xdr:col>
      <xdr:colOff>860425</xdr:colOff>
      <xdr:row>18</xdr:row>
      <xdr:rowOff>113241</xdr:rowOff>
    </xdr:from>
    <xdr:to>
      <xdr:col>9</xdr:col>
      <xdr:colOff>867834</xdr:colOff>
      <xdr:row>34</xdr:row>
      <xdr:rowOff>113242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C31CD916-46E8-11FD-9B48-6028245CE4A8}"/>
            </a:ext>
          </a:extLst>
        </xdr:cNvPr>
        <xdr:cNvCxnSpPr/>
      </xdr:nvCxnSpPr>
      <xdr:spPr>
        <a:xfrm flipH="1">
          <a:off x="9221258" y="3785658"/>
          <a:ext cx="7409" cy="2942167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C1548C-602E-4F3E-8CCB-2AA00335B9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B2479E3-0802-4A2A-8130-B5401FDF9E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409575</xdr:colOff>
      <xdr:row>3</xdr:row>
      <xdr:rowOff>74970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72BDD05-526A-4119-B807-41AEE8E2C4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B2F253-9D0A-47E4-9BEC-F703557FC0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409575</xdr:colOff>
      <xdr:row>3</xdr:row>
      <xdr:rowOff>74970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B4C4FA6-F275-4495-BAA1-627D000214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9F19962-9DD9-4316-9D67-8E094A3322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104772</xdr:rowOff>
    </xdr:from>
    <xdr:to>
      <xdr:col>2</xdr:col>
      <xdr:colOff>409575</xdr:colOff>
      <xdr:row>3</xdr:row>
      <xdr:rowOff>74970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602A31-190B-4C9A-9316-72D2E21E1D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F90DF7E-626D-4173-B0F3-BAE7870E32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409575</xdr:colOff>
      <xdr:row>3</xdr:row>
      <xdr:rowOff>74970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1719911-F914-477D-8E3C-42B09D1155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ase" displayName="tblBase" ref="E5:M8" headerRowDxfId="11" dataDxfId="10" totalsRowDxfId="9">
  <autoFilter ref="E5:M8" xr:uid="{00000000-0009-0000-0100-000001000000}"/>
  <tableColumns count="9">
    <tableColumn id="1" xr3:uid="{00000000-0010-0000-0000-000001000000}" name="Data" dataDxfId="8"/>
    <tableColumn id="2" xr3:uid="{00000000-0010-0000-0000-000002000000}" name="Hora" dataDxfId="7"/>
    <tableColumn id="3" xr3:uid="{00000000-0010-0000-0000-000003000000}" name="Operador" dataDxfId="6"/>
    <tableColumn id="4" xr3:uid="{00000000-0010-0000-0000-000004000000}" name="Equipe" dataDxfId="5"/>
    <tableColumn id="5" xr3:uid="{00000000-0010-0000-0000-000005000000}" name="Tabulação" dataDxfId="4"/>
    <tableColumn id="6" xr3:uid="{00000000-0010-0000-0000-000006000000}" name="Subtabulação" dataDxfId="3"/>
    <tableColumn id="7" xr3:uid="{00000000-0010-0000-0000-000007000000}" name="Qtde" dataDxfId="2"/>
    <tableColumn id="8" xr3:uid="{00000000-0010-0000-0000-000008000000}" name="TMA" dataDxfId="1"/>
    <tableColumn id="9" xr3:uid="{00000000-0010-0000-0000-000009000000}" name="TM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D97A"/>
  </sheetPr>
  <dimension ref="A1:BR40"/>
  <sheetViews>
    <sheetView showGridLines="0" showRowColHeaders="0" tabSelected="1" zoomScale="80" zoomScaleNormal="80" workbookViewId="0">
      <pane ySplit="5" topLeftCell="A6" activePane="bottomLeft" state="frozen"/>
      <selection pane="bottomLeft" activeCell="G50" sqref="G50"/>
    </sheetView>
  </sheetViews>
  <sheetFormatPr defaultColWidth="8.7265625" defaultRowHeight="14.5" x14ac:dyDescent="0.35"/>
  <cols>
    <col min="1" max="2" width="8.7265625" style="17" customWidth="1"/>
    <col min="3" max="3" width="8.7265625" style="15" customWidth="1"/>
    <col min="4" max="4" width="3.1796875" customWidth="1"/>
    <col min="5" max="5" width="23" customWidth="1"/>
    <col min="6" max="8" width="12.6328125" customWidth="1"/>
    <col min="9" max="26" width="8.7265625" customWidth="1"/>
  </cols>
  <sheetData>
    <row r="1" spans="1:70" ht="23.5" x14ac:dyDescent="0.55000000000000004">
      <c r="E1" s="21" t="s">
        <v>46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</row>
    <row r="2" spans="1:70" x14ac:dyDescent="0.35">
      <c r="E2" s="34"/>
      <c r="F2" s="3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70" ht="18.5" x14ac:dyDescent="0.35">
      <c r="E3" s="23" t="s">
        <v>86</v>
      </c>
      <c r="F3" s="35" t="s">
        <v>85</v>
      </c>
      <c r="G3" s="5" t="str">
        <f>'00_CONFIG'!B6</f>
        <v>Banco X</v>
      </c>
      <c r="H3" s="35" t="s">
        <v>87</v>
      </c>
      <c r="I3" s="5" t="str">
        <f>'00_CONFIG'!B7</f>
        <v>Vendas</v>
      </c>
      <c r="K3" s="35" t="s">
        <v>88</v>
      </c>
      <c r="L3" s="5" t="str">
        <f>'00_CONFIG'!B8&amp;" a "&amp;'00_CONFIG'!B9</f>
        <v>01/09/2026 a 03/09/2026</v>
      </c>
      <c r="Q3" s="24" t="s">
        <v>74</v>
      </c>
    </row>
    <row r="4" spans="1:70" ht="18.5" x14ac:dyDescent="0.35">
      <c r="E4" s="36" t="s">
        <v>89</v>
      </c>
      <c r="Q4" s="51">
        <f>'00_CONFIG'!B12</f>
        <v>46309.5</v>
      </c>
      <c r="R4" s="51"/>
    </row>
    <row r="5" spans="1:70" x14ac:dyDescent="0.35">
      <c r="E5" s="5"/>
    </row>
    <row r="6" spans="1:70" x14ac:dyDescent="0.35">
      <c r="E6" s="12"/>
      <c r="G6" s="12"/>
      <c r="H6" s="14"/>
      <c r="I6" s="12"/>
      <c r="J6" s="14"/>
      <c r="K6" s="12"/>
      <c r="L6" s="14"/>
      <c r="M6" s="12"/>
      <c r="N6" s="14"/>
      <c r="O6" s="12"/>
    </row>
    <row r="7" spans="1:70" ht="14.5" customHeight="1" x14ac:dyDescent="0.35">
      <c r="E7" s="13"/>
      <c r="G7" s="13"/>
      <c r="I7" s="13"/>
      <c r="K7" s="13"/>
      <c r="M7" s="13"/>
      <c r="O7" s="12"/>
    </row>
    <row r="8" spans="1:70" ht="20" customHeight="1" x14ac:dyDescent="0.35">
      <c r="A8" s="48" t="s">
        <v>69</v>
      </c>
      <c r="B8" s="48"/>
      <c r="C8" s="48"/>
      <c r="E8" s="49"/>
      <c r="G8" s="49"/>
      <c r="I8" s="49"/>
      <c r="K8" s="49"/>
      <c r="M8" s="49"/>
      <c r="O8" s="52"/>
    </row>
    <row r="9" spans="1:70" x14ac:dyDescent="0.35">
      <c r="E9" s="49"/>
      <c r="G9" s="49"/>
      <c r="I9" s="49"/>
      <c r="K9" s="49"/>
      <c r="M9" s="49"/>
      <c r="O9" s="52"/>
    </row>
    <row r="11" spans="1:70" ht="20" customHeight="1" x14ac:dyDescent="0.35">
      <c r="A11" s="48" t="s">
        <v>70</v>
      </c>
      <c r="B11" s="48"/>
      <c r="C11" s="48"/>
    </row>
    <row r="13" spans="1:70" ht="15.5" x14ac:dyDescent="0.35">
      <c r="E13" s="38" t="s">
        <v>93</v>
      </c>
      <c r="M13" s="38" t="s">
        <v>93</v>
      </c>
    </row>
    <row r="14" spans="1:70" ht="20" customHeight="1" x14ac:dyDescent="0.35">
      <c r="A14" s="48" t="s">
        <v>71</v>
      </c>
      <c r="B14" s="48"/>
      <c r="C14" s="48"/>
    </row>
    <row r="15" spans="1:70" ht="14.5" customHeight="1" x14ac:dyDescent="0.35"/>
    <row r="16" spans="1:70" ht="14.5" customHeight="1" x14ac:dyDescent="0.35">
      <c r="G16" s="25"/>
    </row>
    <row r="17" spans="1:20" ht="20" customHeight="1" x14ac:dyDescent="0.35">
      <c r="A17" s="48" t="s">
        <v>72</v>
      </c>
      <c r="B17" s="48"/>
      <c r="C17" s="48"/>
      <c r="G17" s="25"/>
      <c r="N17" s="50">
        <f>'02_OPERACIONAL'!F40</f>
        <v>0.8709692644405983</v>
      </c>
      <c r="P17" s="50">
        <f>'02_OPERACIONAL'!G40</f>
        <v>0.94488217903045035</v>
      </c>
      <c r="R17" s="50">
        <f>'02_OPERACIONAL'!H40</f>
        <v>0.25283298148923872</v>
      </c>
      <c r="T17" s="50">
        <f>'02_OPERACIONAL'!I40</f>
        <v>0.84195014053179407</v>
      </c>
    </row>
    <row r="18" spans="1:20" x14ac:dyDescent="0.35">
      <c r="G18" s="25"/>
      <c r="N18" s="50"/>
      <c r="P18" s="50"/>
      <c r="R18" s="50"/>
      <c r="T18" s="50"/>
    </row>
    <row r="19" spans="1:20" x14ac:dyDescent="0.35">
      <c r="G19" s="25"/>
    </row>
    <row r="20" spans="1:20" ht="18.5" x14ac:dyDescent="0.35">
      <c r="A20" s="48" t="s">
        <v>73</v>
      </c>
      <c r="B20" s="48"/>
      <c r="C20" s="48"/>
      <c r="G20" s="25"/>
    </row>
    <row r="21" spans="1:20" x14ac:dyDescent="0.35">
      <c r="G21" s="25"/>
      <c r="N21" s="37" t="s">
        <v>125</v>
      </c>
      <c r="P21" s="37" t="s">
        <v>128</v>
      </c>
      <c r="R21" s="37" t="s">
        <v>129</v>
      </c>
      <c r="T21" s="37" t="s">
        <v>140</v>
      </c>
    </row>
    <row r="29" spans="1:20" ht="15.5" x14ac:dyDescent="0.35">
      <c r="E29" s="38" t="s">
        <v>141</v>
      </c>
    </row>
    <row r="35" spans="5:18" ht="15.5" x14ac:dyDescent="0.35">
      <c r="E35" s="6" t="s">
        <v>2</v>
      </c>
      <c r="Q35" s="53">
        <f>$G$40</f>
        <v>0.57264999999999999</v>
      </c>
      <c r="R35" s="53"/>
    </row>
    <row r="36" spans="5:18" ht="15.5" x14ac:dyDescent="0.35">
      <c r="E36" s="6"/>
      <c r="Q36" s="53"/>
      <c r="R36" s="53"/>
    </row>
    <row r="37" spans="5:18" x14ac:dyDescent="0.35">
      <c r="E37" s="18" t="s">
        <v>3</v>
      </c>
      <c r="F37" s="18" t="s">
        <v>92</v>
      </c>
      <c r="G37" s="18" t="s">
        <v>6</v>
      </c>
      <c r="H37" s="18" t="s">
        <v>5</v>
      </c>
      <c r="I37" s="18" t="s">
        <v>4</v>
      </c>
    </row>
    <row r="38" spans="5:18" ht="15.5" x14ac:dyDescent="0.35">
      <c r="E38" s="8" t="s">
        <v>94</v>
      </c>
      <c r="F38" s="9">
        <v>1</v>
      </c>
      <c r="G38" s="9">
        <f>I38/H38</f>
        <v>0.63249999999999995</v>
      </c>
      <c r="H38" s="7">
        <v>80000</v>
      </c>
      <c r="I38" s="7">
        <v>50600</v>
      </c>
      <c r="Q38" s="54" t="s">
        <v>91</v>
      </c>
      <c r="R38" s="54"/>
    </row>
    <row r="39" spans="5:18" x14ac:dyDescent="0.35">
      <c r="E39" s="8" t="s">
        <v>97</v>
      </c>
      <c r="F39" s="9">
        <v>0.99</v>
      </c>
      <c r="G39" s="9">
        <f>I39/H39</f>
        <v>0.51280000000000003</v>
      </c>
      <c r="H39" s="7">
        <v>10000</v>
      </c>
      <c r="I39" s="7">
        <v>5128</v>
      </c>
    </row>
    <row r="40" spans="5:18" x14ac:dyDescent="0.35">
      <c r="G40" s="39">
        <f>AVERAGE(G38:G39)</f>
        <v>0.57264999999999999</v>
      </c>
    </row>
  </sheetData>
  <mergeCells count="18">
    <mergeCell ref="Q35:R36"/>
    <mergeCell ref="Q38:R38"/>
    <mergeCell ref="N17:N18"/>
    <mergeCell ref="P17:P18"/>
    <mergeCell ref="R17:R18"/>
    <mergeCell ref="A20:C20"/>
    <mergeCell ref="K8:K9"/>
    <mergeCell ref="M8:M9"/>
    <mergeCell ref="T17:T18"/>
    <mergeCell ref="Q4:R4"/>
    <mergeCell ref="O8:O9"/>
    <mergeCell ref="A11:C11"/>
    <mergeCell ref="A8:C8"/>
    <mergeCell ref="A14:C14"/>
    <mergeCell ref="E8:E9"/>
    <mergeCell ref="G8:G9"/>
    <mergeCell ref="I8:I9"/>
    <mergeCell ref="A17:C17"/>
  </mergeCells>
  <hyperlinks>
    <hyperlink ref="A11:C11" location="'02_OPERACIONAL'!A1" display="Operacional" xr:uid="{32F847B5-02C0-4123-B2E2-5F66F0918D90}"/>
    <hyperlink ref="A14:C14" location="'03_DETALHAMENTO'!A1" display="Detalhamento" xr:uid="{9495E522-AD20-47FE-B7D2-EADA9F95E13B}"/>
    <hyperlink ref="A17:C17" location="'04_INDICADORES'!A1" display="Indicadores" xr:uid="{5A9D602E-93C5-488B-B7D3-FC3401902283}"/>
    <hyperlink ref="A20:C20" location="'05_BASE'!A1" display="Base" xr:uid="{CE43533D-7BBC-4382-BAF6-C4DF7414F73A}"/>
    <hyperlink ref="A8:C8" location="'01_RESUMO'!A1" display="Resumo" xr:uid="{00B6CD28-9D9D-4324-93D7-7C1C0A2FBE0B}"/>
  </hyperlink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D97A"/>
  </sheetPr>
  <dimension ref="A1:BS57"/>
  <sheetViews>
    <sheetView showGridLines="0" showRowColHeaders="0" zoomScale="80" zoomScaleNormal="80" workbookViewId="0">
      <pane ySplit="4" topLeftCell="A5" activePane="bottomLeft" state="frozen"/>
      <selection pane="bottomLeft" activeCell="L37" sqref="L37"/>
    </sheetView>
  </sheetViews>
  <sheetFormatPr defaultRowHeight="14.5" x14ac:dyDescent="0.35"/>
  <cols>
    <col min="1" max="2" width="8.7265625" style="17"/>
    <col min="3" max="3" width="8.7265625" style="15"/>
    <col min="4" max="4" width="3.1796875" customWidth="1"/>
    <col min="5" max="15" width="18" customWidth="1"/>
  </cols>
  <sheetData>
    <row r="1" spans="1:71" ht="23.5" x14ac:dyDescent="0.55000000000000004">
      <c r="E1" s="55" t="s">
        <v>46</v>
      </c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</row>
    <row r="2" spans="1:71" ht="18.5" x14ac:dyDescent="0.45">
      <c r="E2" s="3" t="s">
        <v>15</v>
      </c>
      <c r="F2" s="4"/>
      <c r="G2" s="4"/>
      <c r="H2" s="4"/>
      <c r="I2" s="4"/>
      <c r="J2" s="4"/>
      <c r="K2" s="4"/>
      <c r="L2" s="4"/>
      <c r="M2" s="4"/>
      <c r="N2" s="4"/>
      <c r="O2" s="4"/>
    </row>
    <row r="3" spans="1:71" x14ac:dyDescent="0.35">
      <c r="E3" s="24" t="s">
        <v>98</v>
      </c>
    </row>
    <row r="5" spans="1:71" x14ac:dyDescent="0.35">
      <c r="E5" s="16" t="s">
        <v>7</v>
      </c>
      <c r="F5" s="16" t="s">
        <v>122</v>
      </c>
      <c r="G5" s="16" t="s">
        <v>8</v>
      </c>
      <c r="H5" s="16" t="s">
        <v>127</v>
      </c>
      <c r="I5" s="16" t="s">
        <v>123</v>
      </c>
      <c r="J5" s="16" t="s">
        <v>124</v>
      </c>
      <c r="K5" s="16" t="s">
        <v>125</v>
      </c>
      <c r="L5" s="16" t="s">
        <v>128</v>
      </c>
      <c r="M5" s="45" t="s">
        <v>129</v>
      </c>
      <c r="N5" s="30" t="s">
        <v>139</v>
      </c>
    </row>
    <row r="6" spans="1:71" x14ac:dyDescent="0.35">
      <c r="E6" s="19" t="s">
        <v>9</v>
      </c>
      <c r="F6" s="26">
        <v>200</v>
      </c>
      <c r="G6" s="26">
        <v>182</v>
      </c>
      <c r="H6" s="26">
        <f>G6-30</f>
        <v>152</v>
      </c>
      <c r="I6" s="26">
        <v>42</v>
      </c>
      <c r="J6" s="26">
        <f>I6-20</f>
        <v>22</v>
      </c>
      <c r="K6" s="20">
        <f>G6/F6</f>
        <v>0.91</v>
      </c>
      <c r="L6" s="20">
        <f>H6/G6</f>
        <v>0.8351648351648352</v>
      </c>
      <c r="M6" s="20">
        <f>I6/H6</f>
        <v>0.27631578947368424</v>
      </c>
      <c r="N6" s="20">
        <f>J6/I6</f>
        <v>0.52380952380952384</v>
      </c>
      <c r="O6" s="20">
        <f>G6/F6</f>
        <v>0.91</v>
      </c>
    </row>
    <row r="7" spans="1:71" ht="18.5" x14ac:dyDescent="0.35">
      <c r="A7" s="48" t="s">
        <v>69</v>
      </c>
      <c r="B7" s="48"/>
      <c r="C7" s="48"/>
      <c r="E7" s="19" t="s">
        <v>10</v>
      </c>
      <c r="F7" s="26">
        <v>722</v>
      </c>
      <c r="G7" s="26">
        <v>612</v>
      </c>
      <c r="H7" s="26">
        <f t="shared" ref="H7:H9" si="0">G7-30</f>
        <v>582</v>
      </c>
      <c r="I7" s="26">
        <v>143</v>
      </c>
      <c r="J7" s="26">
        <f t="shared" ref="J7:J8" si="1">I7-20</f>
        <v>123</v>
      </c>
      <c r="K7" s="20">
        <f>G7/F7</f>
        <v>0.8476454293628809</v>
      </c>
      <c r="L7" s="20">
        <f t="shared" ref="L7:L16" si="2">H7/G7</f>
        <v>0.9509803921568627</v>
      </c>
      <c r="M7" s="20">
        <f t="shared" ref="M7:M16" si="3">I7/H7</f>
        <v>0.24570446735395188</v>
      </c>
      <c r="N7" s="20">
        <f t="shared" ref="N7:N16" si="4">J7/I7</f>
        <v>0.8601398601398601</v>
      </c>
      <c r="O7" s="20">
        <f>G7/F7</f>
        <v>0.8476454293628809</v>
      </c>
    </row>
    <row r="8" spans="1:71" x14ac:dyDescent="0.35">
      <c r="E8" s="19" t="s">
        <v>11</v>
      </c>
      <c r="F8" s="26">
        <v>900</v>
      </c>
      <c r="G8" s="26">
        <v>812</v>
      </c>
      <c r="H8" s="26">
        <f t="shared" si="0"/>
        <v>782</v>
      </c>
      <c r="I8" s="26">
        <v>194</v>
      </c>
      <c r="J8" s="26">
        <f t="shared" si="1"/>
        <v>174</v>
      </c>
      <c r="K8" s="20">
        <f>G8/F8</f>
        <v>0.90222222222222226</v>
      </c>
      <c r="L8" s="20">
        <f t="shared" si="2"/>
        <v>0.96305418719211822</v>
      </c>
      <c r="M8" s="20">
        <f t="shared" si="3"/>
        <v>0.24808184143222506</v>
      </c>
      <c r="N8" s="20">
        <f t="shared" si="4"/>
        <v>0.89690721649484539</v>
      </c>
      <c r="O8" s="20">
        <f>G8/F8</f>
        <v>0.90222222222222226</v>
      </c>
    </row>
    <row r="9" spans="1:71" x14ac:dyDescent="0.35">
      <c r="E9" s="19" t="s">
        <v>12</v>
      </c>
      <c r="F9" s="26">
        <v>1300</v>
      </c>
      <c r="G9" s="26">
        <v>1150</v>
      </c>
      <c r="H9" s="26">
        <f>G9-40</f>
        <v>1110</v>
      </c>
      <c r="I9" s="26">
        <v>276</v>
      </c>
      <c r="J9" s="26">
        <f>I9-24</f>
        <v>252</v>
      </c>
      <c r="K9" s="20">
        <f>G9/F9</f>
        <v>0.88461538461538458</v>
      </c>
      <c r="L9" s="20">
        <f t="shared" si="2"/>
        <v>0.9652173913043478</v>
      </c>
      <c r="M9" s="20">
        <f t="shared" si="3"/>
        <v>0.24864864864864866</v>
      </c>
      <c r="N9" s="20">
        <f t="shared" si="4"/>
        <v>0.91304347826086951</v>
      </c>
      <c r="O9" s="20">
        <f>G9/F9</f>
        <v>0.88461538461538458</v>
      </c>
    </row>
    <row r="10" spans="1:71" ht="18.5" x14ac:dyDescent="0.35">
      <c r="A10" s="48" t="s">
        <v>70</v>
      </c>
      <c r="B10" s="48"/>
      <c r="C10" s="48"/>
      <c r="E10" s="19" t="s">
        <v>13</v>
      </c>
      <c r="F10" s="26">
        <v>1820</v>
      </c>
      <c r="G10" s="26">
        <v>1520</v>
      </c>
      <c r="H10" s="26">
        <f t="shared" ref="H10:H13" si="5">G10-40</f>
        <v>1480</v>
      </c>
      <c r="I10" s="26">
        <v>368</v>
      </c>
      <c r="J10" s="26">
        <f t="shared" ref="J10:J12" si="6">I10-24</f>
        <v>344</v>
      </c>
      <c r="K10" s="20">
        <f>G10/F10</f>
        <v>0.8351648351648352</v>
      </c>
      <c r="L10" s="20">
        <f t="shared" si="2"/>
        <v>0.97368421052631582</v>
      </c>
      <c r="M10" s="20">
        <f t="shared" si="3"/>
        <v>0.24864864864864866</v>
      </c>
      <c r="N10" s="20">
        <f t="shared" si="4"/>
        <v>0.93478260869565222</v>
      </c>
      <c r="O10" s="20">
        <f>G10/F10</f>
        <v>0.8351648351648352</v>
      </c>
    </row>
    <row r="11" spans="1:71" x14ac:dyDescent="0.35">
      <c r="E11" s="19" t="s">
        <v>14</v>
      </c>
      <c r="F11" s="26">
        <v>1750</v>
      </c>
      <c r="G11" s="26">
        <v>1630</v>
      </c>
      <c r="H11" s="26">
        <f t="shared" si="5"/>
        <v>1590</v>
      </c>
      <c r="I11" s="26">
        <v>392</v>
      </c>
      <c r="J11" s="26">
        <f t="shared" si="6"/>
        <v>368</v>
      </c>
      <c r="K11" s="20">
        <f>G11/F11</f>
        <v>0.93142857142857138</v>
      </c>
      <c r="L11" s="20">
        <f t="shared" si="2"/>
        <v>0.97546012269938653</v>
      </c>
      <c r="M11" s="20">
        <f t="shared" si="3"/>
        <v>0.24654088050314465</v>
      </c>
      <c r="N11" s="20">
        <f t="shared" si="4"/>
        <v>0.93877551020408168</v>
      </c>
      <c r="O11" s="20">
        <f>G11/F11</f>
        <v>0.93142857142857138</v>
      </c>
    </row>
    <row r="12" spans="1:71" x14ac:dyDescent="0.35">
      <c r="E12" s="19" t="s">
        <v>75</v>
      </c>
      <c r="F12" s="26">
        <v>1820</v>
      </c>
      <c r="G12" s="26">
        <v>1520</v>
      </c>
      <c r="H12" s="26">
        <f t="shared" si="5"/>
        <v>1480</v>
      </c>
      <c r="I12" s="26">
        <v>360</v>
      </c>
      <c r="J12" s="26">
        <f>I12-34</f>
        <v>326</v>
      </c>
      <c r="K12" s="20">
        <f>G12/F12</f>
        <v>0.8351648351648352</v>
      </c>
      <c r="L12" s="20">
        <f t="shared" si="2"/>
        <v>0.97368421052631582</v>
      </c>
      <c r="M12" s="20">
        <f t="shared" si="3"/>
        <v>0.24324324324324326</v>
      </c>
      <c r="N12" s="20">
        <f t="shared" si="4"/>
        <v>0.90555555555555556</v>
      </c>
      <c r="O12" s="20">
        <f>G12/F12</f>
        <v>0.8351648351648352</v>
      </c>
      <c r="S12" s="29"/>
    </row>
    <row r="13" spans="1:71" ht="18.5" x14ac:dyDescent="0.35">
      <c r="A13" s="48" t="s">
        <v>71</v>
      </c>
      <c r="B13" s="48"/>
      <c r="C13" s="48"/>
      <c r="E13" s="19" t="s">
        <v>76</v>
      </c>
      <c r="F13" s="26">
        <v>1740</v>
      </c>
      <c r="G13" s="26">
        <v>1420</v>
      </c>
      <c r="H13" s="26">
        <f>G13-49</f>
        <v>1371</v>
      </c>
      <c r="I13" s="26">
        <v>334</v>
      </c>
      <c r="J13" s="26">
        <f t="shared" ref="J13:J14" si="7">I13-34</f>
        <v>300</v>
      </c>
      <c r="K13" s="20">
        <f>G13/F13</f>
        <v>0.81609195402298851</v>
      </c>
      <c r="L13" s="20">
        <f t="shared" si="2"/>
        <v>0.96549295774647892</v>
      </c>
      <c r="M13" s="20">
        <f t="shared" si="3"/>
        <v>0.24361779722830051</v>
      </c>
      <c r="N13" s="20">
        <f t="shared" si="4"/>
        <v>0.89820359281437123</v>
      </c>
      <c r="O13" s="20">
        <f>G13/F13</f>
        <v>0.81609195402298851</v>
      </c>
    </row>
    <row r="14" spans="1:71" x14ac:dyDescent="0.35">
      <c r="E14" s="19" t="s">
        <v>77</v>
      </c>
      <c r="F14" s="26">
        <v>1100</v>
      </c>
      <c r="G14" s="26">
        <v>1080</v>
      </c>
      <c r="H14" s="26">
        <f t="shared" ref="H14:H16" si="8">G14-49</f>
        <v>1031</v>
      </c>
      <c r="I14" s="26">
        <v>258</v>
      </c>
      <c r="J14" s="26">
        <f>I14-47</f>
        <v>211</v>
      </c>
      <c r="K14" s="20">
        <f>G14/F14</f>
        <v>0.98181818181818181</v>
      </c>
      <c r="L14" s="20">
        <f t="shared" si="2"/>
        <v>0.95462962962962961</v>
      </c>
      <c r="M14" s="20">
        <f t="shared" si="3"/>
        <v>0.25024248302618818</v>
      </c>
      <c r="N14" s="20">
        <f t="shared" si="4"/>
        <v>0.81782945736434109</v>
      </c>
      <c r="O14" s="20">
        <f>G14/F14</f>
        <v>0.98181818181818181</v>
      </c>
    </row>
    <row r="15" spans="1:71" x14ac:dyDescent="0.35">
      <c r="E15" s="19" t="s">
        <v>78</v>
      </c>
      <c r="F15" s="26">
        <v>941</v>
      </c>
      <c r="G15" s="26">
        <v>760</v>
      </c>
      <c r="H15" s="26">
        <f t="shared" si="8"/>
        <v>711</v>
      </c>
      <c r="I15" s="26">
        <v>174</v>
      </c>
      <c r="J15" s="26">
        <f>I15-47</f>
        <v>127</v>
      </c>
      <c r="K15" s="20">
        <f>G15/F15</f>
        <v>0.8076514346439958</v>
      </c>
      <c r="L15" s="20">
        <f t="shared" si="2"/>
        <v>0.93552631578947365</v>
      </c>
      <c r="M15" s="20">
        <f t="shared" si="3"/>
        <v>0.24472573839662448</v>
      </c>
      <c r="N15" s="20">
        <f t="shared" si="4"/>
        <v>0.72988505747126442</v>
      </c>
      <c r="O15" s="20">
        <f>G15/F15</f>
        <v>0.8076514346439958</v>
      </c>
    </row>
    <row r="16" spans="1:71" ht="18.5" x14ac:dyDescent="0.35">
      <c r="A16" s="48" t="s">
        <v>72</v>
      </c>
      <c r="B16" s="48"/>
      <c r="C16" s="48"/>
      <c r="E16" s="19" t="s">
        <v>79</v>
      </c>
      <c r="F16" s="26">
        <v>596</v>
      </c>
      <c r="G16" s="26">
        <v>494</v>
      </c>
      <c r="H16" s="26">
        <f t="shared" si="8"/>
        <v>445</v>
      </c>
      <c r="I16" s="26">
        <v>127</v>
      </c>
      <c r="J16" s="26">
        <f t="shared" ref="J16" si="9">I16-20</f>
        <v>107</v>
      </c>
      <c r="K16" s="20">
        <f>G16/F16</f>
        <v>0.82885906040268453</v>
      </c>
      <c r="L16" s="20">
        <f t="shared" si="2"/>
        <v>0.90080971659919029</v>
      </c>
      <c r="M16" s="20">
        <f t="shared" si="3"/>
        <v>0.28539325842696628</v>
      </c>
      <c r="N16" s="20">
        <f t="shared" si="4"/>
        <v>0.84251968503937003</v>
      </c>
      <c r="O16" s="20">
        <f>G16/F16</f>
        <v>0.82885906040268453</v>
      </c>
    </row>
    <row r="17" spans="1:14" x14ac:dyDescent="0.35">
      <c r="E17" s="16" t="s">
        <v>80</v>
      </c>
      <c r="F17" s="27">
        <f>SUM(F6:F16)</f>
        <v>12889</v>
      </c>
      <c r="G17" s="27">
        <f t="shared" ref="G17:J17" si="10">SUM(G6:G16)</f>
        <v>11180</v>
      </c>
      <c r="H17" s="27">
        <f t="shared" si="10"/>
        <v>10734</v>
      </c>
      <c r="I17" s="27">
        <f t="shared" si="10"/>
        <v>2668</v>
      </c>
      <c r="J17" s="27">
        <f t="shared" si="10"/>
        <v>2354</v>
      </c>
      <c r="K17" s="28">
        <f>AVERAGE(K6:K16)</f>
        <v>0.8709692644405983</v>
      </c>
      <c r="L17" s="28">
        <f t="shared" ref="L17:N17" si="11">AVERAGE(L6:L16)</f>
        <v>0.94488217903045035</v>
      </c>
      <c r="M17" s="28">
        <f t="shared" si="11"/>
        <v>0.25283298148923872</v>
      </c>
      <c r="N17" s="28">
        <f t="shared" si="11"/>
        <v>0.84195014053179407</v>
      </c>
    </row>
    <row r="18" spans="1:14" x14ac:dyDescent="0.35">
      <c r="G18" s="25"/>
    </row>
    <row r="19" spans="1:14" ht="18.5" x14ac:dyDescent="0.35">
      <c r="A19" s="48" t="s">
        <v>73</v>
      </c>
      <c r="B19" s="48"/>
      <c r="C19" s="48"/>
      <c r="G19" s="25"/>
    </row>
    <row r="20" spans="1:14" x14ac:dyDescent="0.35">
      <c r="G20" s="25"/>
    </row>
    <row r="36" spans="4:13" x14ac:dyDescent="0.35">
      <c r="E36" s="41"/>
      <c r="F36" s="41"/>
      <c r="G36" s="41"/>
      <c r="H36" s="41"/>
      <c r="I36" s="41"/>
      <c r="J36" s="41"/>
      <c r="K36" s="41"/>
      <c r="L36" s="44"/>
    </row>
    <row r="37" spans="4:13" x14ac:dyDescent="0.35">
      <c r="D37" s="41"/>
      <c r="E37" s="41"/>
      <c r="F37" s="41"/>
      <c r="G37" s="41"/>
      <c r="H37" s="41"/>
      <c r="I37" s="41"/>
      <c r="J37" s="41"/>
      <c r="K37" s="41"/>
      <c r="L37" s="44"/>
      <c r="M37" s="41"/>
    </row>
    <row r="38" spans="4:13" x14ac:dyDescent="0.35">
      <c r="D38" s="41"/>
      <c r="E38" s="41"/>
      <c r="F38" s="42" t="s">
        <v>125</v>
      </c>
      <c r="G38" s="42" t="s">
        <v>128</v>
      </c>
      <c r="H38" s="42" t="s">
        <v>129</v>
      </c>
      <c r="I38" s="42" t="s">
        <v>139</v>
      </c>
      <c r="J38" s="42" t="s">
        <v>91</v>
      </c>
      <c r="K38" s="41"/>
      <c r="L38" s="44"/>
      <c r="M38" s="41"/>
    </row>
    <row r="39" spans="4:13" x14ac:dyDescent="0.35">
      <c r="D39" s="41"/>
      <c r="E39" s="42" t="s">
        <v>5</v>
      </c>
      <c r="F39" s="40">
        <v>0.99</v>
      </c>
      <c r="G39" s="40">
        <v>0.1</v>
      </c>
      <c r="H39" s="40">
        <v>0.99</v>
      </c>
      <c r="I39" s="40">
        <v>1</v>
      </c>
      <c r="J39" s="43">
        <f>AVERAGE(F39:I39)</f>
        <v>0.77</v>
      </c>
      <c r="K39" s="41"/>
      <c r="L39" s="44"/>
      <c r="M39" s="41"/>
    </row>
    <row r="40" spans="4:13" x14ac:dyDescent="0.35">
      <c r="D40" s="41"/>
      <c r="E40" s="42" t="s">
        <v>90</v>
      </c>
      <c r="F40" s="40">
        <f>K17</f>
        <v>0.8709692644405983</v>
      </c>
      <c r="G40" s="40">
        <f>L17</f>
        <v>0.94488217903045035</v>
      </c>
      <c r="H40" s="40">
        <f>M17</f>
        <v>0.25283298148923872</v>
      </c>
      <c r="I40" s="40">
        <f>N17</f>
        <v>0.84195014053179407</v>
      </c>
      <c r="J40" s="43">
        <f>AVERAGE(F40:I40)</f>
        <v>0.72765864137302039</v>
      </c>
      <c r="K40" s="41"/>
      <c r="L40" s="44"/>
      <c r="M40" s="41"/>
    </row>
    <row r="41" spans="4:13" x14ac:dyDescent="0.35">
      <c r="D41" s="41"/>
      <c r="E41" s="41"/>
      <c r="F41" s="41"/>
      <c r="G41" s="41"/>
      <c r="H41" s="41"/>
      <c r="I41" s="41"/>
      <c r="J41" s="41"/>
      <c r="K41" s="41"/>
      <c r="L41" s="44"/>
      <c r="M41" s="41"/>
    </row>
    <row r="42" spans="4:13" x14ac:dyDescent="0.35">
      <c r="D42" s="41"/>
      <c r="E42" s="41"/>
      <c r="F42" s="41"/>
      <c r="G42" s="41"/>
      <c r="H42" s="41"/>
      <c r="I42" s="41"/>
      <c r="J42" s="41"/>
      <c r="K42" s="41"/>
      <c r="L42" s="44"/>
      <c r="M42" s="41"/>
    </row>
    <row r="43" spans="4:13" x14ac:dyDescent="0.35">
      <c r="D43" s="41"/>
      <c r="E43" s="41"/>
      <c r="F43" s="41"/>
      <c r="G43" s="41"/>
      <c r="H43" s="41"/>
      <c r="I43" s="41"/>
      <c r="J43" s="41"/>
      <c r="K43" s="41"/>
      <c r="L43" s="44"/>
      <c r="M43" s="41"/>
    </row>
    <row r="44" spans="4:13" x14ac:dyDescent="0.35">
      <c r="D44" s="41"/>
      <c r="E44" s="42" t="s">
        <v>125</v>
      </c>
      <c r="F44" s="40">
        <v>0.99</v>
      </c>
      <c r="G44" s="40">
        <v>1</v>
      </c>
      <c r="H44" s="41"/>
      <c r="I44" s="41"/>
      <c r="J44" s="41"/>
      <c r="K44" s="41"/>
      <c r="L44" s="44"/>
      <c r="M44" s="41"/>
    </row>
    <row r="45" spans="4:13" x14ac:dyDescent="0.35">
      <c r="D45" s="41"/>
      <c r="E45" s="42" t="s">
        <v>128</v>
      </c>
      <c r="F45" s="40">
        <v>0.1</v>
      </c>
      <c r="G45" s="40">
        <v>1</v>
      </c>
      <c r="H45" s="41"/>
      <c r="I45" s="41"/>
      <c r="J45" s="41"/>
      <c r="K45" s="41"/>
      <c r="L45" s="44"/>
      <c r="M45" s="41"/>
    </row>
    <row r="46" spans="4:13" x14ac:dyDescent="0.35">
      <c r="D46" s="41"/>
      <c r="E46" s="42" t="s">
        <v>129</v>
      </c>
      <c r="F46" s="40">
        <v>0.99</v>
      </c>
      <c r="G46" s="40">
        <v>1</v>
      </c>
      <c r="H46" s="41"/>
      <c r="I46" s="41"/>
      <c r="J46" s="41"/>
      <c r="K46" s="41"/>
      <c r="L46" s="44"/>
      <c r="M46" s="41"/>
    </row>
    <row r="47" spans="4:13" x14ac:dyDescent="0.35">
      <c r="D47" s="41"/>
      <c r="E47" s="42" t="s">
        <v>139</v>
      </c>
      <c r="F47" s="40">
        <v>1</v>
      </c>
      <c r="G47" s="40">
        <v>1</v>
      </c>
      <c r="H47" s="41"/>
      <c r="I47" s="41"/>
      <c r="J47" s="41"/>
      <c r="K47" s="41"/>
      <c r="L47" s="44"/>
      <c r="M47" s="41"/>
    </row>
    <row r="48" spans="4:13" x14ac:dyDescent="0.35">
      <c r="D48" s="41"/>
      <c r="E48" s="41"/>
      <c r="F48" s="41"/>
      <c r="G48" s="41"/>
      <c r="H48" s="41"/>
      <c r="I48" s="41"/>
      <c r="J48" s="41"/>
      <c r="K48" s="41"/>
      <c r="L48" s="44"/>
      <c r="M48" s="41"/>
    </row>
    <row r="49" spans="4:13" x14ac:dyDescent="0.35">
      <c r="D49" s="41"/>
      <c r="E49" s="41"/>
      <c r="F49" s="41"/>
      <c r="G49" s="41"/>
      <c r="H49" s="41"/>
      <c r="I49" s="41"/>
      <c r="J49" s="41"/>
      <c r="K49" s="41"/>
      <c r="L49" s="44"/>
      <c r="M49" s="41"/>
    </row>
    <row r="50" spans="4:13" x14ac:dyDescent="0.35">
      <c r="D50" s="41"/>
      <c r="E50" s="41"/>
      <c r="F50" s="41"/>
      <c r="G50" s="41"/>
      <c r="H50" s="41"/>
      <c r="I50" s="41"/>
      <c r="J50" s="41"/>
      <c r="K50" s="41"/>
      <c r="L50" s="44"/>
      <c r="M50" s="41"/>
    </row>
    <row r="51" spans="4:13" x14ac:dyDescent="0.35">
      <c r="D51" s="41"/>
      <c r="E51" s="41"/>
      <c r="F51" s="41"/>
      <c r="G51" s="41"/>
      <c r="H51" s="41"/>
      <c r="I51" s="41"/>
      <c r="J51" s="41"/>
      <c r="K51" s="41"/>
      <c r="L51" s="44"/>
      <c r="M51" s="41"/>
    </row>
    <row r="52" spans="4:13" x14ac:dyDescent="0.35">
      <c r="D52" s="41"/>
      <c r="E52" s="41"/>
      <c r="F52" s="41"/>
      <c r="G52" s="41"/>
      <c r="H52" s="41"/>
      <c r="I52" s="41"/>
      <c r="J52" s="41"/>
      <c r="K52" s="41"/>
      <c r="L52" s="44"/>
      <c r="M52" s="41"/>
    </row>
    <row r="53" spans="4:13" x14ac:dyDescent="0.35">
      <c r="D53" s="41"/>
      <c r="E53" s="41"/>
      <c r="F53" s="41"/>
      <c r="G53" s="41"/>
      <c r="H53" s="41"/>
      <c r="I53" s="41"/>
      <c r="J53" s="41"/>
      <c r="K53" s="41"/>
      <c r="L53" s="44"/>
      <c r="M53" s="41"/>
    </row>
    <row r="54" spans="4:13" x14ac:dyDescent="0.35">
      <c r="D54" s="41"/>
      <c r="E54" s="41"/>
      <c r="F54" s="41"/>
      <c r="G54" s="41"/>
      <c r="H54" s="41"/>
      <c r="I54" s="41"/>
      <c r="J54" s="41"/>
      <c r="K54" s="41"/>
      <c r="L54" s="44"/>
      <c r="M54" s="41"/>
    </row>
    <row r="55" spans="4:13" x14ac:dyDescent="0.35">
      <c r="D55" s="41"/>
      <c r="E55" s="44"/>
      <c r="F55" s="44"/>
      <c r="G55" s="44"/>
      <c r="H55" s="44"/>
      <c r="I55" s="44"/>
      <c r="J55" s="44"/>
      <c r="K55" s="44"/>
      <c r="L55" s="44"/>
      <c r="M55" s="41"/>
    </row>
    <row r="56" spans="4:13" x14ac:dyDescent="0.35">
      <c r="D56" s="41"/>
      <c r="E56" s="44"/>
      <c r="F56" s="44"/>
      <c r="G56" s="44"/>
      <c r="H56" s="44"/>
      <c r="I56" s="44"/>
      <c r="J56" s="44"/>
      <c r="K56" s="44"/>
      <c r="L56" s="44"/>
      <c r="M56" s="41"/>
    </row>
    <row r="57" spans="4:13" x14ac:dyDescent="0.35">
      <c r="D57" s="41"/>
      <c r="E57" s="44"/>
      <c r="F57" s="44"/>
      <c r="G57" s="44"/>
      <c r="H57" s="44"/>
      <c r="I57" s="44"/>
      <c r="J57" s="44"/>
      <c r="K57" s="44"/>
      <c r="L57" s="44"/>
      <c r="M57" s="41"/>
    </row>
  </sheetData>
  <mergeCells count="6">
    <mergeCell ref="A19:C19"/>
    <mergeCell ref="E1:BS1"/>
    <mergeCell ref="A7:C7"/>
    <mergeCell ref="A10:C10"/>
    <mergeCell ref="A13:C13"/>
    <mergeCell ref="A16:C16"/>
  </mergeCells>
  <hyperlinks>
    <hyperlink ref="A10:C10" location="'02_OPERACIONAL'!A1" display="Operacional" xr:uid="{7358A9A8-6078-429A-A26C-24A76056BBE8}"/>
    <hyperlink ref="A13:C13" location="'03_DETALHAMENTO'!A1" display="Detalhamento" xr:uid="{E6DFEB5C-B7E0-44F0-8DE8-2BD4E35A66C2}"/>
    <hyperlink ref="A16:C16" location="'04_INDICADORES'!A1" display="Indicadores" xr:uid="{71416FE9-2A78-4DC1-8F57-07362E9F8109}"/>
    <hyperlink ref="A19:C19" location="'05_BASE'!A1" display="Base" xr:uid="{5641426B-2438-41B9-8214-01E36155D412}"/>
    <hyperlink ref="A7:C7" location="'01_RESUMO'!A1" display="Resumo" xr:uid="{DD031EA2-F2B7-4FF4-A8D3-059534DDE34B}"/>
  </hyperlink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D97A"/>
  </sheetPr>
  <dimension ref="A1:BP19"/>
  <sheetViews>
    <sheetView showGridLines="0" zoomScale="80" zoomScaleNormal="80" workbookViewId="0">
      <pane ySplit="4" topLeftCell="A5" activePane="bottomLeft" state="frozen"/>
      <selection pane="bottomLeft" activeCell="F6" sqref="F6:F8"/>
    </sheetView>
  </sheetViews>
  <sheetFormatPr defaultRowHeight="14.5" x14ac:dyDescent="0.35"/>
  <cols>
    <col min="1" max="2" width="8.7265625" style="17"/>
    <col min="3" max="3" width="8.7265625" style="15"/>
    <col min="4" max="4" width="3.1796875" customWidth="1"/>
    <col min="5" max="5" width="18" customWidth="1"/>
    <col min="6" max="6" width="29.54296875" bestFit="1" customWidth="1"/>
    <col min="7" max="8" width="18" customWidth="1"/>
    <col min="9" max="9" width="21.6328125" bestFit="1" customWidth="1"/>
    <col min="10" max="13" width="18" customWidth="1"/>
    <col min="14" max="14" width="13.08984375" bestFit="1" customWidth="1"/>
  </cols>
  <sheetData>
    <row r="1" spans="1:68" ht="23.5" x14ac:dyDescent="0.55000000000000004">
      <c r="E1" s="55" t="s">
        <v>46</v>
      </c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</row>
    <row r="2" spans="1:68" ht="18.5" x14ac:dyDescent="0.45">
      <c r="E2" s="3" t="s">
        <v>18</v>
      </c>
      <c r="F2" s="4"/>
      <c r="G2" s="4"/>
      <c r="H2" s="4"/>
      <c r="I2" s="4"/>
      <c r="J2" s="4"/>
      <c r="K2" s="4"/>
      <c r="L2" s="4"/>
      <c r="M2" s="4"/>
      <c r="N2" s="4"/>
    </row>
    <row r="3" spans="1:68" x14ac:dyDescent="0.35">
      <c r="E3" s="24" t="s">
        <v>98</v>
      </c>
    </row>
    <row r="5" spans="1:68" x14ac:dyDescent="0.35">
      <c r="E5" s="16" t="s">
        <v>19</v>
      </c>
      <c r="F5" s="16" t="s">
        <v>142</v>
      </c>
      <c r="G5" s="30" t="s">
        <v>143</v>
      </c>
      <c r="H5" s="30" t="s">
        <v>8</v>
      </c>
      <c r="I5" s="30" t="s">
        <v>102</v>
      </c>
      <c r="J5" s="30" t="s">
        <v>123</v>
      </c>
      <c r="K5" s="30" t="s">
        <v>97</v>
      </c>
      <c r="L5" s="30" t="s">
        <v>113</v>
      </c>
      <c r="M5" s="30" t="s">
        <v>117</v>
      </c>
      <c r="N5" s="30" t="s">
        <v>116</v>
      </c>
    </row>
    <row r="6" spans="1:68" x14ac:dyDescent="0.35">
      <c r="E6" s="19" t="s">
        <v>25</v>
      </c>
      <c r="F6" s="46" t="s">
        <v>144</v>
      </c>
      <c r="G6" s="26">
        <v>15000</v>
      </c>
      <c r="H6" s="26">
        <v>4200</v>
      </c>
      <c r="I6" s="26">
        <v>850</v>
      </c>
      <c r="J6" s="26">
        <v>520</v>
      </c>
      <c r="K6" s="26">
        <v>130</v>
      </c>
      <c r="L6" s="20">
        <v>8.6999999999999994E-3</v>
      </c>
      <c r="M6" s="58">
        <v>450</v>
      </c>
      <c r="N6" s="58">
        <v>58500</v>
      </c>
    </row>
    <row r="7" spans="1:68" ht="18.5" x14ac:dyDescent="0.35">
      <c r="A7" s="48" t="s">
        <v>69</v>
      </c>
      <c r="B7" s="48"/>
      <c r="C7" s="48"/>
      <c r="E7" s="19" t="s">
        <v>25</v>
      </c>
      <c r="F7" s="46" t="s">
        <v>145</v>
      </c>
      <c r="G7" s="26">
        <v>3500</v>
      </c>
      <c r="H7" s="26">
        <v>3100</v>
      </c>
      <c r="I7" s="26">
        <v>1200</v>
      </c>
      <c r="J7" s="26">
        <v>980</v>
      </c>
      <c r="K7" s="26">
        <v>340</v>
      </c>
      <c r="L7" s="20">
        <v>9.7100000000000006E-2</v>
      </c>
      <c r="M7" s="58">
        <v>520</v>
      </c>
      <c r="N7" s="58">
        <v>176800</v>
      </c>
    </row>
    <row r="8" spans="1:68" x14ac:dyDescent="0.35">
      <c r="E8" s="19" t="s">
        <v>25</v>
      </c>
      <c r="F8" s="46" t="s">
        <v>146</v>
      </c>
      <c r="G8" s="26">
        <v>8000</v>
      </c>
      <c r="H8" s="26">
        <v>5600</v>
      </c>
      <c r="I8" s="26">
        <v>1800</v>
      </c>
      <c r="J8" s="26">
        <v>1100</v>
      </c>
      <c r="K8" s="26">
        <v>210</v>
      </c>
      <c r="L8" s="20">
        <v>2.63E-2</v>
      </c>
      <c r="M8" s="58">
        <v>390</v>
      </c>
      <c r="N8" s="58">
        <v>81900</v>
      </c>
    </row>
    <row r="9" spans="1:68" x14ac:dyDescent="0.35">
      <c r="E9" s="19"/>
      <c r="F9" s="46"/>
      <c r="G9" s="26"/>
      <c r="H9" s="26"/>
      <c r="I9" s="26"/>
      <c r="J9" s="26"/>
      <c r="K9" s="26"/>
      <c r="L9" s="20"/>
      <c r="M9" s="58"/>
      <c r="N9" s="58"/>
    </row>
    <row r="10" spans="1:68" ht="18.5" x14ac:dyDescent="0.35">
      <c r="A10" s="48" t="s">
        <v>70</v>
      </c>
      <c r="B10" s="48"/>
      <c r="C10" s="48"/>
      <c r="E10" s="31"/>
      <c r="F10" s="31"/>
      <c r="G10" s="31"/>
      <c r="H10" s="31"/>
      <c r="I10" s="31"/>
      <c r="J10" s="31"/>
      <c r="K10" s="31"/>
    </row>
    <row r="11" spans="1:68" x14ac:dyDescent="0.35">
      <c r="E11" s="31"/>
      <c r="F11" s="31"/>
      <c r="G11" s="31"/>
      <c r="H11" s="31"/>
      <c r="I11" s="31"/>
      <c r="J11" s="31"/>
      <c r="K11" s="31"/>
    </row>
    <row r="12" spans="1:68" x14ac:dyDescent="0.35">
      <c r="E12" s="31"/>
      <c r="F12" s="31"/>
      <c r="G12" s="31"/>
      <c r="H12" s="31"/>
      <c r="I12" s="31"/>
      <c r="J12" s="31"/>
      <c r="K12" s="31"/>
    </row>
    <row r="13" spans="1:68" ht="18.5" x14ac:dyDescent="0.35">
      <c r="A13" s="48" t="s">
        <v>71</v>
      </c>
      <c r="B13" s="48"/>
      <c r="C13" s="48"/>
    </row>
    <row r="16" spans="1:68" ht="18.5" x14ac:dyDescent="0.35">
      <c r="A16" s="48" t="s">
        <v>72</v>
      </c>
      <c r="B16" s="48"/>
      <c r="C16" s="48"/>
    </row>
    <row r="19" spans="1:3" ht="18.5" x14ac:dyDescent="0.35">
      <c r="A19" s="48" t="s">
        <v>73</v>
      </c>
      <c r="B19" s="48"/>
      <c r="C19" s="48"/>
    </row>
  </sheetData>
  <mergeCells count="6">
    <mergeCell ref="A19:C19"/>
    <mergeCell ref="E1:BP1"/>
    <mergeCell ref="A7:C7"/>
    <mergeCell ref="A10:C10"/>
    <mergeCell ref="A13:C13"/>
    <mergeCell ref="A16:C16"/>
  </mergeCells>
  <hyperlinks>
    <hyperlink ref="A10:C10" location="'02_OPERACIONAL'!A1" display="Operacional" xr:uid="{C69D8192-3726-4387-BD0A-8D1492D505B6}"/>
    <hyperlink ref="A13:C13" location="'03_DETALHAMENTO'!A1" display="Detalhamento" xr:uid="{15DC45E9-FEAA-43AC-A148-4764F2C38123}"/>
    <hyperlink ref="A16:C16" location="'04_INDICADORES'!A1" display="Indicadores" xr:uid="{12D30668-9631-41A3-982C-7E99051EE3F1}"/>
    <hyperlink ref="A19:C19" location="'05_BASE'!A1" display="Base" xr:uid="{5EFBA070-F0DF-4521-AA08-4B2403C9DF0E}"/>
    <hyperlink ref="A7:C7" location="'01_RESUMO'!A1" display="Resumo" xr:uid="{24AF2F9E-DA56-4442-925E-E6F006012984}"/>
  </hyperlink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D97A"/>
  </sheetPr>
  <dimension ref="A1:BR19"/>
  <sheetViews>
    <sheetView showGridLines="0" zoomScale="80" zoomScaleNormal="80" workbookViewId="0">
      <pane ySplit="4" topLeftCell="A5" activePane="bottomLeft" state="frozen"/>
      <selection pane="bottomLeft" activeCell="F13" sqref="F13"/>
    </sheetView>
  </sheetViews>
  <sheetFormatPr defaultRowHeight="14.5" x14ac:dyDescent="0.35"/>
  <cols>
    <col min="1" max="2" width="8.7265625" style="17"/>
    <col min="3" max="3" width="8.7265625" style="15"/>
    <col min="4" max="4" width="3.1796875" customWidth="1"/>
    <col min="5" max="5" width="30.7265625" customWidth="1"/>
    <col min="6" max="6" width="64.36328125" bestFit="1" customWidth="1"/>
    <col min="7" max="7" width="49.36328125" bestFit="1" customWidth="1"/>
    <col min="8" max="9" width="14" customWidth="1"/>
    <col min="10" max="10" width="60.81640625" customWidth="1"/>
    <col min="11" max="14" width="18" customWidth="1"/>
  </cols>
  <sheetData>
    <row r="1" spans="1:70" ht="23.5" x14ac:dyDescent="0.55000000000000004">
      <c r="E1" s="55" t="s">
        <v>46</v>
      </c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</row>
    <row r="2" spans="1:70" ht="18.5" x14ac:dyDescent="0.45">
      <c r="E2" s="3" t="s">
        <v>38</v>
      </c>
      <c r="F2" s="4"/>
      <c r="G2" s="4"/>
      <c r="H2" s="4"/>
      <c r="I2" s="4"/>
      <c r="J2" s="4"/>
      <c r="K2" s="4"/>
      <c r="L2" s="4"/>
      <c r="M2" s="4"/>
      <c r="N2" s="4"/>
    </row>
    <row r="3" spans="1:70" x14ac:dyDescent="0.35">
      <c r="E3" s="24" t="s">
        <v>99</v>
      </c>
    </row>
    <row r="5" spans="1:70" x14ac:dyDescent="0.35">
      <c r="E5" s="16" t="s">
        <v>3</v>
      </c>
      <c r="F5" s="16" t="s">
        <v>39</v>
      </c>
      <c r="G5" s="16" t="s">
        <v>40</v>
      </c>
      <c r="H5" s="16" t="s">
        <v>41</v>
      </c>
      <c r="I5" s="16" t="s">
        <v>42</v>
      </c>
      <c r="J5" s="16" t="s">
        <v>83</v>
      </c>
    </row>
    <row r="6" spans="1:70" x14ac:dyDescent="0.35">
      <c r="E6" s="32" t="s">
        <v>100</v>
      </c>
      <c r="F6" s="19" t="s">
        <v>101</v>
      </c>
      <c r="G6" s="32" t="s">
        <v>43</v>
      </c>
      <c r="H6" s="32" t="s">
        <v>44</v>
      </c>
      <c r="I6" s="32" t="s">
        <v>45</v>
      </c>
      <c r="J6" s="33" t="s">
        <v>110</v>
      </c>
    </row>
    <row r="7" spans="1:70" ht="18.5" x14ac:dyDescent="0.35">
      <c r="A7" s="48" t="s">
        <v>69</v>
      </c>
      <c r="B7" s="48"/>
      <c r="C7" s="48"/>
      <c r="E7" s="19" t="s">
        <v>8</v>
      </c>
      <c r="F7" s="19" t="s">
        <v>47</v>
      </c>
      <c r="G7" s="19" t="s">
        <v>48</v>
      </c>
      <c r="H7" s="19" t="s">
        <v>44</v>
      </c>
      <c r="I7" s="19" t="s">
        <v>45</v>
      </c>
      <c r="J7" s="57" t="s">
        <v>96</v>
      </c>
    </row>
    <row r="8" spans="1:70" x14ac:dyDescent="0.35">
      <c r="E8" s="32" t="s">
        <v>102</v>
      </c>
      <c r="F8" s="19" t="s">
        <v>103</v>
      </c>
      <c r="G8" s="32" t="s">
        <v>114</v>
      </c>
      <c r="H8" s="32" t="s">
        <v>44</v>
      </c>
      <c r="I8" s="32" t="s">
        <v>45</v>
      </c>
      <c r="J8" s="33" t="s">
        <v>112</v>
      </c>
    </row>
    <row r="9" spans="1:70" x14ac:dyDescent="0.35">
      <c r="E9" s="32" t="s">
        <v>126</v>
      </c>
      <c r="F9" s="19" t="s">
        <v>131</v>
      </c>
      <c r="G9" s="32" t="s">
        <v>130</v>
      </c>
      <c r="H9" s="32" t="s">
        <v>49</v>
      </c>
      <c r="I9" s="32" t="s">
        <v>45</v>
      </c>
      <c r="J9" s="33" t="s">
        <v>112</v>
      </c>
    </row>
    <row r="10" spans="1:70" ht="18.5" x14ac:dyDescent="0.35">
      <c r="A10" s="48" t="s">
        <v>70</v>
      </c>
      <c r="B10" s="48"/>
      <c r="C10" s="48"/>
      <c r="E10" s="19" t="s">
        <v>104</v>
      </c>
      <c r="F10" s="32" t="s">
        <v>105</v>
      </c>
      <c r="G10" s="32" t="s">
        <v>114</v>
      </c>
      <c r="H10" s="32" t="s">
        <v>44</v>
      </c>
      <c r="I10" s="32" t="s">
        <v>45</v>
      </c>
      <c r="J10" s="33" t="s">
        <v>111</v>
      </c>
    </row>
    <row r="11" spans="1:70" x14ac:dyDescent="0.35">
      <c r="E11" s="19" t="s">
        <v>132</v>
      </c>
      <c r="F11" s="32" t="s">
        <v>134</v>
      </c>
      <c r="G11" s="32" t="s">
        <v>133</v>
      </c>
      <c r="H11" s="32" t="s">
        <v>49</v>
      </c>
      <c r="I11" s="32" t="s">
        <v>45</v>
      </c>
      <c r="J11" s="33"/>
      <c r="Q11" s="19" t="s">
        <v>113</v>
      </c>
      <c r="R11" s="19" t="s">
        <v>108</v>
      </c>
      <c r="S11" s="19" t="s">
        <v>109</v>
      </c>
      <c r="T11" s="32" t="s">
        <v>49</v>
      </c>
      <c r="U11" s="32"/>
      <c r="V11" s="33"/>
    </row>
    <row r="12" spans="1:70" x14ac:dyDescent="0.35">
      <c r="E12" s="19" t="s">
        <v>106</v>
      </c>
      <c r="F12" s="19" t="s">
        <v>107</v>
      </c>
      <c r="G12" s="32" t="s">
        <v>114</v>
      </c>
      <c r="H12" s="32" t="s">
        <v>44</v>
      </c>
      <c r="I12" s="32" t="s">
        <v>45</v>
      </c>
      <c r="J12" s="57" t="s">
        <v>115</v>
      </c>
    </row>
    <row r="13" spans="1:70" ht="18.5" x14ac:dyDescent="0.35">
      <c r="A13" s="48" t="s">
        <v>71</v>
      </c>
      <c r="B13" s="48"/>
      <c r="C13" s="48"/>
      <c r="E13" s="19" t="s">
        <v>135</v>
      </c>
      <c r="F13" s="19" t="s">
        <v>138</v>
      </c>
      <c r="G13" s="32" t="s">
        <v>136</v>
      </c>
      <c r="H13" s="32" t="s">
        <v>49</v>
      </c>
      <c r="I13" s="32" t="s">
        <v>45</v>
      </c>
      <c r="J13" s="57"/>
    </row>
    <row r="14" spans="1:70" x14ac:dyDescent="0.35">
      <c r="E14" s="19" t="s">
        <v>116</v>
      </c>
      <c r="F14" s="19" t="s">
        <v>119</v>
      </c>
      <c r="G14" s="32" t="s">
        <v>118</v>
      </c>
      <c r="H14" s="32" t="s">
        <v>137</v>
      </c>
      <c r="I14" s="32" t="s">
        <v>45</v>
      </c>
      <c r="J14" s="57"/>
    </row>
    <row r="15" spans="1:70" x14ac:dyDescent="0.35">
      <c r="E15" s="19" t="s">
        <v>117</v>
      </c>
      <c r="F15" s="19" t="s">
        <v>121</v>
      </c>
      <c r="G15" s="32" t="s">
        <v>120</v>
      </c>
      <c r="H15" s="32" t="s">
        <v>137</v>
      </c>
      <c r="I15" s="32" t="s">
        <v>45</v>
      </c>
      <c r="J15" s="57"/>
    </row>
    <row r="16" spans="1:70" ht="18.5" x14ac:dyDescent="0.35">
      <c r="A16" s="48" t="s">
        <v>72</v>
      </c>
      <c r="B16" s="48"/>
      <c r="C16" s="48"/>
      <c r="E16" s="32" t="s">
        <v>16</v>
      </c>
      <c r="F16" s="32" t="s">
        <v>50</v>
      </c>
      <c r="G16" s="32" t="s">
        <v>51</v>
      </c>
      <c r="H16" s="32" t="s">
        <v>52</v>
      </c>
      <c r="I16" s="32" t="s">
        <v>45</v>
      </c>
      <c r="J16" s="33" t="s">
        <v>84</v>
      </c>
    </row>
    <row r="17" spans="1:10" x14ac:dyDescent="0.35">
      <c r="E17" s="32" t="s">
        <v>24</v>
      </c>
      <c r="F17" s="32" t="s">
        <v>81</v>
      </c>
      <c r="G17" s="32" t="s">
        <v>82</v>
      </c>
      <c r="H17" s="32" t="s">
        <v>52</v>
      </c>
      <c r="I17" s="32" t="s">
        <v>45</v>
      </c>
      <c r="J17" s="33" t="s">
        <v>84</v>
      </c>
    </row>
    <row r="19" spans="1:10" ht="18.5" x14ac:dyDescent="0.35">
      <c r="A19" s="48" t="s">
        <v>73</v>
      </c>
      <c r="B19" s="48"/>
      <c r="C19" s="48"/>
    </row>
  </sheetData>
  <mergeCells count="6">
    <mergeCell ref="A19:C19"/>
    <mergeCell ref="E1:BR1"/>
    <mergeCell ref="A7:C7"/>
    <mergeCell ref="A10:C10"/>
    <mergeCell ref="A13:C13"/>
    <mergeCell ref="A16:C16"/>
  </mergeCells>
  <hyperlinks>
    <hyperlink ref="A10:C10" location="'02_OPERACIONAL'!A1" display="Operacional" xr:uid="{AEDE9591-CA67-48EB-8262-8AF6307FD7AB}"/>
    <hyperlink ref="A13:C13" location="'03_DETALHAMENTO'!A1" display="Detalhamento" xr:uid="{4FB84D73-8108-42DC-968F-4D0CDDDFC498}"/>
    <hyperlink ref="A16:C16" location="'04_INDICADORES'!A1" display="Indicadores" xr:uid="{702D4FB5-5B51-4AE9-99F8-B54768B7C543}"/>
    <hyperlink ref="A19:C19" location="'05_BASE'!A1" display="Base" xr:uid="{63BFE226-6E7F-4EB5-BA2C-43570677BAF5}"/>
    <hyperlink ref="A7:C7" location="'01_RESUMO'!A1" display="Resumo" xr:uid="{54BE9593-E91D-4873-88A1-C9861C3F7965}"/>
  </hyperlink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D97A"/>
  </sheetPr>
  <dimension ref="A1:BR19"/>
  <sheetViews>
    <sheetView showGridLines="0" showRowColHeaders="0" zoomScale="80" zoomScaleNormal="80" workbookViewId="0">
      <pane ySplit="4" topLeftCell="A5" activePane="bottomLeft" state="frozen"/>
      <selection pane="bottomLeft" activeCell="J24" sqref="J19:J24"/>
    </sheetView>
  </sheetViews>
  <sheetFormatPr defaultRowHeight="14.5" x14ac:dyDescent="0.35"/>
  <cols>
    <col min="1" max="2" width="8.7265625" style="17"/>
    <col min="3" max="3" width="8.7265625" style="15"/>
    <col min="4" max="4" width="3.1796875" customWidth="1"/>
    <col min="5" max="9" width="18" customWidth="1"/>
    <col min="10" max="10" width="21.6328125" bestFit="1" customWidth="1"/>
    <col min="11" max="14" width="18" customWidth="1"/>
  </cols>
  <sheetData>
    <row r="1" spans="1:70" ht="23.5" x14ac:dyDescent="0.55000000000000004">
      <c r="E1" s="55" t="s">
        <v>46</v>
      </c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</row>
    <row r="2" spans="1:70" ht="18.5" x14ac:dyDescent="0.45">
      <c r="E2" s="3" t="s">
        <v>53</v>
      </c>
      <c r="F2" s="4"/>
      <c r="G2" s="4"/>
      <c r="H2" s="4"/>
      <c r="I2" s="4"/>
      <c r="J2" s="4"/>
      <c r="K2" s="4"/>
      <c r="L2" s="4"/>
      <c r="M2" s="4"/>
      <c r="N2" s="4"/>
    </row>
    <row r="3" spans="1:70" x14ac:dyDescent="0.35">
      <c r="E3" s="5" t="s">
        <v>99</v>
      </c>
    </row>
    <row r="5" spans="1:70" x14ac:dyDescent="0.35">
      <c r="E5" s="16" t="s">
        <v>19</v>
      </c>
      <c r="F5" s="16" t="s">
        <v>7</v>
      </c>
      <c r="G5" s="16" t="s">
        <v>20</v>
      </c>
      <c r="H5" s="16" t="s">
        <v>21</v>
      </c>
      <c r="I5" s="16" t="s">
        <v>22</v>
      </c>
      <c r="J5" s="16" t="s">
        <v>23</v>
      </c>
      <c r="K5" s="16" t="s">
        <v>54</v>
      </c>
      <c r="L5" s="16" t="s">
        <v>16</v>
      </c>
      <c r="M5" s="16" t="s">
        <v>24</v>
      </c>
    </row>
    <row r="6" spans="1:70" x14ac:dyDescent="0.35">
      <c r="E6" s="19" t="s">
        <v>25</v>
      </c>
      <c r="F6" s="19" t="s">
        <v>9</v>
      </c>
      <c r="G6" s="19" t="s">
        <v>26</v>
      </c>
      <c r="H6" s="19" t="s">
        <v>27</v>
      </c>
      <c r="I6" s="19" t="s">
        <v>28</v>
      </c>
      <c r="J6" s="19" t="s">
        <v>147</v>
      </c>
      <c r="K6" s="19">
        <v>10</v>
      </c>
      <c r="L6" s="19" t="s">
        <v>17</v>
      </c>
      <c r="M6" s="19" t="s">
        <v>29</v>
      </c>
    </row>
    <row r="7" spans="1:70" ht="18.5" x14ac:dyDescent="0.35">
      <c r="A7" s="48" t="s">
        <v>69</v>
      </c>
      <c r="B7" s="48"/>
      <c r="C7" s="48"/>
      <c r="E7" s="19" t="s">
        <v>25</v>
      </c>
      <c r="F7" s="19" t="s">
        <v>9</v>
      </c>
      <c r="G7" s="19" t="s">
        <v>30</v>
      </c>
      <c r="H7" s="19" t="s">
        <v>31</v>
      </c>
      <c r="I7" s="19" t="s">
        <v>28</v>
      </c>
      <c r="J7" s="19" t="s">
        <v>148</v>
      </c>
      <c r="K7" s="19">
        <v>8</v>
      </c>
      <c r="L7" s="19" t="s">
        <v>32</v>
      </c>
      <c r="M7" s="19" t="s">
        <v>33</v>
      </c>
    </row>
    <row r="8" spans="1:70" x14ac:dyDescent="0.35">
      <c r="E8" s="19" t="s">
        <v>25</v>
      </c>
      <c r="F8" s="19" t="s">
        <v>10</v>
      </c>
      <c r="G8" s="19" t="s">
        <v>34</v>
      </c>
      <c r="H8" s="19" t="s">
        <v>35</v>
      </c>
      <c r="I8" s="19" t="s">
        <v>28</v>
      </c>
      <c r="J8" s="19" t="s">
        <v>95</v>
      </c>
      <c r="K8" s="19">
        <v>12</v>
      </c>
      <c r="L8" s="19" t="s">
        <v>36</v>
      </c>
      <c r="M8" s="19" t="s">
        <v>37</v>
      </c>
    </row>
    <row r="10" spans="1:70" ht="18.5" x14ac:dyDescent="0.35">
      <c r="A10" s="48" t="s">
        <v>70</v>
      </c>
      <c r="B10" s="48"/>
      <c r="C10" s="48"/>
    </row>
    <row r="13" spans="1:70" ht="18.5" x14ac:dyDescent="0.35">
      <c r="A13" s="48" t="s">
        <v>71</v>
      </c>
      <c r="B13" s="48"/>
      <c r="C13" s="48"/>
    </row>
    <row r="16" spans="1:70" ht="18.5" x14ac:dyDescent="0.35">
      <c r="A16" s="48" t="s">
        <v>72</v>
      </c>
      <c r="B16" s="48"/>
      <c r="C16" s="48"/>
    </row>
    <row r="19" spans="1:3" ht="18.5" x14ac:dyDescent="0.35">
      <c r="A19" s="48" t="s">
        <v>73</v>
      </c>
      <c r="B19" s="48"/>
      <c r="C19" s="48"/>
    </row>
  </sheetData>
  <mergeCells count="6">
    <mergeCell ref="A19:C19"/>
    <mergeCell ref="E1:BR1"/>
    <mergeCell ref="A7:C7"/>
    <mergeCell ref="A10:C10"/>
    <mergeCell ref="A13:C13"/>
    <mergeCell ref="A16:C16"/>
  </mergeCells>
  <hyperlinks>
    <hyperlink ref="A10:C10" location="'02_OPERACIONAL'!A1" display="Operacional" xr:uid="{0A413A57-F100-4347-9859-B751E33FE2A4}"/>
    <hyperlink ref="A13:C13" location="'03_DETALHAMENTO'!A1" display="Detalhamento" xr:uid="{93A6A618-187B-4448-ACDC-309935335293}"/>
    <hyperlink ref="A16:C16" location="'04_INDICADORES'!A1" display="Indicadores" xr:uid="{B7869FAE-CAB7-4F5F-A765-E8B35C178E75}"/>
    <hyperlink ref="A19:C19" location="'05_BASE'!A1" display="Base" xr:uid="{803FDA1D-7952-48FF-B48D-07050BCDF5C1}"/>
    <hyperlink ref="A7:C7" location="'01_RESUMO'!A1" display="Resumo" xr:uid="{D20DC03A-0EF6-42E4-A37B-D25E81960F4E}"/>
  </hyperlinks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D97A"/>
  </sheetPr>
  <dimension ref="A1:J12"/>
  <sheetViews>
    <sheetView showGridLines="0" zoomScale="90" workbookViewId="0">
      <pane ySplit="4" topLeftCell="A5" activePane="bottomLeft" state="frozen"/>
      <selection pane="bottomLeft" activeCell="B8" sqref="B8"/>
    </sheetView>
  </sheetViews>
  <sheetFormatPr defaultRowHeight="14.5" x14ac:dyDescent="0.35"/>
  <cols>
    <col min="1" max="1" width="28" customWidth="1"/>
    <col min="2" max="2" width="35" customWidth="1"/>
    <col min="3" max="10" width="18" customWidth="1"/>
  </cols>
  <sheetData>
    <row r="1" spans="1:10" ht="23.5" x14ac:dyDescent="0.5500000000000000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8.5" x14ac:dyDescent="0.45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35">
      <c r="A3" s="5" t="s">
        <v>1</v>
      </c>
    </row>
    <row r="5" spans="1:10" x14ac:dyDescent="0.35">
      <c r="A5" s="11" t="s">
        <v>56</v>
      </c>
      <c r="B5" s="11" t="s">
        <v>57</v>
      </c>
    </row>
    <row r="6" spans="1:10" x14ac:dyDescent="0.35">
      <c r="A6" s="10" t="s">
        <v>58</v>
      </c>
      <c r="B6" s="10" t="s">
        <v>59</v>
      </c>
    </row>
    <row r="7" spans="1:10" x14ac:dyDescent="0.35">
      <c r="A7" s="10" t="s">
        <v>60</v>
      </c>
      <c r="B7" s="10" t="s">
        <v>97</v>
      </c>
    </row>
    <row r="8" spans="1:10" x14ac:dyDescent="0.35">
      <c r="A8" s="10" t="s">
        <v>61</v>
      </c>
      <c r="B8" s="10" t="s">
        <v>62</v>
      </c>
    </row>
    <row r="9" spans="1:10" x14ac:dyDescent="0.35">
      <c r="A9" s="10" t="s">
        <v>63</v>
      </c>
      <c r="B9" s="10" t="s">
        <v>25</v>
      </c>
    </row>
    <row r="10" spans="1:10" x14ac:dyDescent="0.35">
      <c r="A10" s="10" t="s">
        <v>64</v>
      </c>
      <c r="B10" s="10" t="s">
        <v>65</v>
      </c>
    </row>
    <row r="11" spans="1:10" x14ac:dyDescent="0.35">
      <c r="A11" s="10" t="s">
        <v>66</v>
      </c>
      <c r="B11" s="10" t="s">
        <v>67</v>
      </c>
    </row>
    <row r="12" spans="1:10" x14ac:dyDescent="0.35">
      <c r="A12" s="10" t="s">
        <v>68</v>
      </c>
      <c r="B12" s="47">
        <v>46309.5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01_RESUMO</vt:lpstr>
      <vt:lpstr>02_OPERACIONAL</vt:lpstr>
      <vt:lpstr>03_DETALHAMENTO</vt:lpstr>
      <vt:lpstr>04_INDICADORES</vt:lpstr>
      <vt:lpstr>05_BASE</vt:lpstr>
      <vt:lpstr>00_CONFIG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Evelim Jaqueline Milano Esquetini</cp:lastModifiedBy>
  <dcterms:created xsi:type="dcterms:W3CDTF">2026-09-03T18:53:28Z</dcterms:created>
  <dcterms:modified xsi:type="dcterms:W3CDTF">2026-10-15T14:48:53Z</dcterms:modified>
</cp:coreProperties>
</file>